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05B070D7-199B-4399-B2BF-2F6EFF294AA4}" xr6:coauthVersionLast="47" xr6:coauthVersionMax="47" xr10:uidLastSave="{00000000-0000-0000-0000-000000000000}"/>
  <bookViews>
    <workbookView xWindow="38280" yWindow="-135" windowWidth="38640" windowHeight="21120" xr2:uid="{C0DC6B20-142B-451C-AD42-864837E0B9C3}"/>
  </bookViews>
  <sheets>
    <sheet name="Validierung_Teststufe_1" sheetId="6" r:id="rId1"/>
    <sheet name="Validierung_Teststufe_2" sheetId="9" r:id="rId2"/>
    <sheet name="raw_data" sheetId="8" r:id="rId3"/>
  </sheets>
  <definedNames>
    <definedName name="_xlnm._FilterDatabase" localSheetId="0" hidden="1">Validierung_Teststufe_1!$A$8:$S$8</definedName>
    <definedName name="_xlnm._FilterDatabase" localSheetId="1" hidden="1">Validierung_Teststufe_2!$A$8:$S$8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7U1ZX8lWU/lYqgxjl8ld2yOzVTw=="/>
    </ext>
  </extLst>
</workbook>
</file>

<file path=xl/calcChain.xml><?xml version="1.0" encoding="utf-8"?>
<calcChain xmlns="http://schemas.openxmlformats.org/spreadsheetml/2006/main">
  <c r="S11" i="6" l="1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7" i="6"/>
  <c r="S48" i="6"/>
  <c r="S49" i="6"/>
  <c r="S50" i="6"/>
  <c r="S52" i="6"/>
  <c r="S53" i="6"/>
  <c r="S54" i="6"/>
  <c r="S55" i="6"/>
  <c r="S56" i="6"/>
  <c r="S57" i="6"/>
  <c r="S58" i="6"/>
  <c r="S59" i="6"/>
  <c r="S61" i="6"/>
  <c r="S62" i="6"/>
  <c r="S63" i="6"/>
  <c r="S64" i="6"/>
  <c r="S65" i="6"/>
  <c r="S66" i="6"/>
  <c r="S67" i="6"/>
  <c r="S68" i="6"/>
  <c r="S69" i="6"/>
  <c r="S71" i="6"/>
  <c r="S72" i="6"/>
  <c r="S73" i="6"/>
  <c r="S74" i="6"/>
  <c r="S75" i="6"/>
  <c r="S76" i="6"/>
  <c r="S77" i="6"/>
  <c r="S78" i="6"/>
  <c r="S80" i="6"/>
  <c r="S81" i="6"/>
  <c r="S82" i="6"/>
  <c r="S85" i="6"/>
  <c r="S87" i="6"/>
  <c r="S89" i="6"/>
  <c r="S90" i="6"/>
  <c r="S91" i="6"/>
  <c r="S92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10" i="6"/>
  <c r="S111" i="6"/>
  <c r="S112" i="6"/>
  <c r="S113" i="6"/>
  <c r="S114" i="6"/>
  <c r="S115" i="6"/>
  <c r="S116" i="6"/>
  <c r="S117" i="6"/>
  <c r="S118" i="6"/>
  <c r="S119" i="6"/>
  <c r="S120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N18" i="6"/>
  <c r="M19" i="6"/>
  <c r="N19" i="6"/>
  <c r="M20" i="6"/>
  <c r="N20" i="6"/>
  <c r="M21" i="6"/>
  <c r="N21" i="6"/>
  <c r="M22" i="6"/>
  <c r="N22" i="6"/>
  <c r="M23" i="6"/>
  <c r="N23" i="6"/>
  <c r="M24" i="6"/>
  <c r="N24" i="6"/>
  <c r="M25" i="6"/>
  <c r="N25" i="6"/>
  <c r="M26" i="6"/>
  <c r="N26" i="6"/>
  <c r="M27" i="6"/>
  <c r="N27" i="6"/>
  <c r="M28" i="6"/>
  <c r="N28" i="6"/>
  <c r="M29" i="6"/>
  <c r="N29" i="6" s="1"/>
  <c r="S29" i="6" s="1"/>
  <c r="M30" i="6"/>
  <c r="N30" i="6"/>
  <c r="M31" i="6"/>
  <c r="N31" i="6"/>
  <c r="M32" i="6"/>
  <c r="N32" i="6"/>
  <c r="M33" i="6"/>
  <c r="N33" i="6"/>
  <c r="M34" i="6"/>
  <c r="N34" i="6"/>
  <c r="M35" i="6"/>
  <c r="N35" i="6"/>
  <c r="M36" i="6"/>
  <c r="N36" i="6"/>
  <c r="M37" i="6"/>
  <c r="M38" i="6"/>
  <c r="N38" i="6"/>
  <c r="M39" i="6"/>
  <c r="N39" i="6"/>
  <c r="M40" i="6"/>
  <c r="N40" i="6"/>
  <c r="M41" i="6"/>
  <c r="N41" i="6"/>
  <c r="M42" i="6"/>
  <c r="N42" i="6"/>
  <c r="M43" i="6"/>
  <c r="N43" i="6"/>
  <c r="M44" i="6"/>
  <c r="N44" i="6"/>
  <c r="M45" i="6"/>
  <c r="N45" i="6" s="1"/>
  <c r="S45" i="6" s="1"/>
  <c r="M46" i="6"/>
  <c r="M47" i="6"/>
  <c r="N47" i="6"/>
  <c r="M48" i="6"/>
  <c r="N48" i="6" s="1"/>
  <c r="M49" i="6"/>
  <c r="N49" i="6"/>
  <c r="M50" i="6"/>
  <c r="N50" i="6"/>
  <c r="M51" i="6"/>
  <c r="M52" i="6"/>
  <c r="N52" i="6"/>
  <c r="M53" i="6"/>
  <c r="N53" i="6"/>
  <c r="M54" i="6"/>
  <c r="N54" i="6"/>
  <c r="M55" i="6"/>
  <c r="N55" i="6"/>
  <c r="M56" i="6"/>
  <c r="N56" i="6"/>
  <c r="M57" i="6"/>
  <c r="N57" i="6"/>
  <c r="M58" i="6"/>
  <c r="N58" i="6"/>
  <c r="M59" i="6"/>
  <c r="N59" i="6"/>
  <c r="M60" i="6"/>
  <c r="M61" i="6"/>
  <c r="N61" i="6"/>
  <c r="M62" i="6"/>
  <c r="N62" i="6"/>
  <c r="M63" i="6"/>
  <c r="N63" i="6"/>
  <c r="M64" i="6"/>
  <c r="N64" i="6"/>
  <c r="M65" i="6"/>
  <c r="N65" i="6"/>
  <c r="M66" i="6"/>
  <c r="N66" i="6"/>
  <c r="M67" i="6"/>
  <c r="N67" i="6"/>
  <c r="M68" i="6"/>
  <c r="N68" i="6"/>
  <c r="M69" i="6"/>
  <c r="N69" i="6"/>
  <c r="M70" i="6"/>
  <c r="N70" i="6"/>
  <c r="S70" i="6" s="1"/>
  <c r="M71" i="6"/>
  <c r="N71" i="6"/>
  <c r="M72" i="6"/>
  <c r="N72" i="6"/>
  <c r="M73" i="6"/>
  <c r="N73" i="6"/>
  <c r="M74" i="6"/>
  <c r="N74" i="6"/>
  <c r="M75" i="6"/>
  <c r="N75" i="6"/>
  <c r="M76" i="6"/>
  <c r="N76" i="6"/>
  <c r="M77" i="6"/>
  <c r="N77" i="6"/>
  <c r="M78" i="6"/>
  <c r="N78" i="6"/>
  <c r="M79" i="6"/>
  <c r="M80" i="6"/>
  <c r="N80" i="6"/>
  <c r="M81" i="6"/>
  <c r="N81" i="6"/>
  <c r="M82" i="6"/>
  <c r="N82" i="6"/>
  <c r="M83" i="6"/>
  <c r="N83" i="6" s="1"/>
  <c r="S83" i="6" s="1"/>
  <c r="M84" i="6"/>
  <c r="M85" i="6"/>
  <c r="N85" i="6"/>
  <c r="M86" i="6"/>
  <c r="N86" i="6" s="1"/>
  <c r="S86" i="6" s="1"/>
  <c r="M87" i="6"/>
  <c r="N87" i="6"/>
  <c r="M88" i="6"/>
  <c r="M89" i="6"/>
  <c r="N89" i="6"/>
  <c r="M90" i="6"/>
  <c r="N90" i="6"/>
  <c r="M91" i="6"/>
  <c r="N91" i="6"/>
  <c r="M92" i="6"/>
  <c r="N92" i="6"/>
  <c r="M93" i="6"/>
  <c r="N93" i="6"/>
  <c r="S93" i="6" s="1"/>
  <c r="M94" i="6"/>
  <c r="M95" i="6"/>
  <c r="N95" i="6"/>
  <c r="M96" i="6"/>
  <c r="N96" i="6"/>
  <c r="M97" i="6"/>
  <c r="N97" i="6"/>
  <c r="M98" i="6"/>
  <c r="N98" i="6"/>
  <c r="M99" i="6"/>
  <c r="N99" i="6"/>
  <c r="M100" i="6"/>
  <c r="N100" i="6"/>
  <c r="M101" i="6"/>
  <c r="N101" i="6"/>
  <c r="M102" i="6"/>
  <c r="N102" i="6"/>
  <c r="M103" i="6"/>
  <c r="N103" i="6"/>
  <c r="M104" i="6"/>
  <c r="N104" i="6"/>
  <c r="M105" i="6"/>
  <c r="N105" i="6"/>
  <c r="M106" i="6"/>
  <c r="N106" i="6"/>
  <c r="M107" i="6"/>
  <c r="N107" i="6"/>
  <c r="M108" i="6"/>
  <c r="N108" i="6"/>
  <c r="M109" i="6"/>
  <c r="N109" i="6" s="1"/>
  <c r="S109" i="6" s="1"/>
  <c r="M110" i="6"/>
  <c r="N110" i="6"/>
  <c r="M111" i="6"/>
  <c r="N111" i="6"/>
  <c r="M112" i="6"/>
  <c r="N112" i="6"/>
  <c r="M113" i="6"/>
  <c r="N113" i="6"/>
  <c r="M114" i="6"/>
  <c r="N114" i="6"/>
  <c r="M115" i="6"/>
  <c r="N115" i="6"/>
  <c r="M116" i="6"/>
  <c r="N116" i="6"/>
  <c r="M117" i="6"/>
  <c r="N117" i="6"/>
  <c r="M118" i="6"/>
  <c r="N118" i="6"/>
  <c r="M119" i="6"/>
  <c r="N119" i="6"/>
  <c r="M120" i="6"/>
  <c r="N120" i="6"/>
  <c r="M121" i="6"/>
  <c r="N121" i="6"/>
  <c r="S121" i="6" s="1"/>
  <c r="M122" i="6"/>
  <c r="N122" i="6"/>
  <c r="M123" i="6"/>
  <c r="N123" i="6"/>
  <c r="M124" i="6"/>
  <c r="N124" i="6"/>
  <c r="M125" i="6"/>
  <c r="N125" i="6"/>
  <c r="M126" i="6"/>
  <c r="N126" i="6"/>
  <c r="M127" i="6"/>
  <c r="N127" i="6"/>
  <c r="M128" i="6"/>
  <c r="N128" i="6"/>
  <c r="M129" i="6"/>
  <c r="N129" i="6"/>
  <c r="M130" i="6"/>
  <c r="N130" i="6"/>
  <c r="M131" i="6"/>
  <c r="N131" i="6"/>
  <c r="M132" i="6"/>
  <c r="N132" i="6"/>
  <c r="M133" i="6"/>
  <c r="N133" i="6"/>
  <c r="M134" i="6"/>
  <c r="N134" i="6"/>
  <c r="M135" i="6"/>
  <c r="N135" i="6"/>
  <c r="M136" i="6"/>
  <c r="N136" i="6"/>
  <c r="M137" i="6"/>
  <c r="N137" i="6"/>
  <c r="M138" i="6"/>
  <c r="N138" i="6"/>
  <c r="M139" i="6"/>
  <c r="N139" i="6"/>
  <c r="M140" i="6"/>
  <c r="N140" i="6"/>
  <c r="M141" i="6"/>
  <c r="N141" i="6"/>
  <c r="M142" i="6"/>
  <c r="N142" i="6"/>
  <c r="M143" i="6"/>
  <c r="N143" i="6"/>
  <c r="M144" i="6"/>
  <c r="N144" i="6"/>
  <c r="M145" i="6"/>
  <c r="N145" i="6"/>
  <c r="M146" i="6"/>
  <c r="N146" i="6"/>
  <c r="M147" i="6"/>
  <c r="N147" i="6"/>
  <c r="M148" i="6"/>
  <c r="N148" i="6"/>
  <c r="M149" i="6"/>
  <c r="N149" i="6"/>
  <c r="M150" i="6"/>
  <c r="N150" i="6"/>
  <c r="M151" i="6"/>
  <c r="N151" i="6"/>
  <c r="M152" i="6"/>
  <c r="N152" i="6"/>
  <c r="M153" i="6"/>
  <c r="N153" i="6"/>
  <c r="M154" i="6"/>
  <c r="N154" i="6"/>
  <c r="M155" i="6"/>
  <c r="N155" i="6"/>
  <c r="M156" i="6"/>
  <c r="N156" i="6"/>
  <c r="M157" i="6"/>
  <c r="N157" i="6"/>
  <c r="M158" i="6"/>
  <c r="N158" i="6"/>
  <c r="M159" i="6"/>
  <c r="N159" i="6"/>
  <c r="M160" i="6"/>
  <c r="N160" i="6"/>
  <c r="M161" i="6"/>
  <c r="N161" i="6"/>
  <c r="M162" i="6"/>
  <c r="N162" i="6"/>
  <c r="M163" i="6"/>
  <c r="N163" i="6"/>
  <c r="M164" i="6"/>
  <c r="N164" i="6"/>
  <c r="M165" i="6"/>
  <c r="N165" i="6"/>
  <c r="M166" i="6"/>
  <c r="N166" i="6"/>
  <c r="M167" i="6"/>
  <c r="N167" i="6"/>
  <c r="M168" i="6"/>
  <c r="N168" i="6"/>
  <c r="M169" i="6"/>
  <c r="N169" i="6"/>
  <c r="M170" i="6"/>
  <c r="N170" i="6"/>
  <c r="M171" i="6"/>
  <c r="N171" i="6"/>
  <c r="M172" i="6"/>
  <c r="N172" i="6"/>
  <c r="M173" i="6"/>
  <c r="N173" i="6"/>
  <c r="M174" i="6"/>
  <c r="N174" i="6"/>
  <c r="M175" i="6"/>
  <c r="N175" i="6"/>
  <c r="M176" i="6"/>
  <c r="N176" i="6"/>
  <c r="M177" i="6"/>
  <c r="N177" i="6"/>
  <c r="M178" i="6"/>
  <c r="N178" i="6"/>
  <c r="M179" i="6"/>
  <c r="N179" i="6"/>
  <c r="M180" i="6"/>
  <c r="N180" i="6"/>
  <c r="M181" i="6"/>
  <c r="N181" i="6"/>
  <c r="M182" i="6"/>
  <c r="N182" i="6"/>
  <c r="M183" i="6"/>
  <c r="N183" i="6"/>
  <c r="M184" i="6"/>
  <c r="N184" i="6"/>
  <c r="M185" i="6"/>
  <c r="N185" i="6"/>
  <c r="M186" i="6"/>
  <c r="N186" i="6"/>
  <c r="M187" i="6"/>
  <c r="N187" i="6"/>
  <c r="M188" i="6"/>
  <c r="N188" i="6"/>
  <c r="M189" i="6"/>
  <c r="N189" i="6"/>
  <c r="M190" i="6"/>
  <c r="N190" i="6"/>
  <c r="M191" i="6"/>
  <c r="N191" i="6"/>
  <c r="M192" i="6"/>
  <c r="N192" i="6"/>
  <c r="M193" i="6"/>
  <c r="N193" i="6"/>
  <c r="M194" i="6"/>
  <c r="N194" i="6"/>
  <c r="M195" i="6"/>
  <c r="N195" i="6"/>
  <c r="M196" i="6"/>
  <c r="N196" i="6"/>
  <c r="M197" i="6"/>
  <c r="N197" i="6"/>
  <c r="M198" i="6"/>
  <c r="N198" i="6"/>
  <c r="M199" i="6"/>
  <c r="N199" i="6"/>
  <c r="M200" i="6"/>
  <c r="N200" i="6"/>
  <c r="M201" i="6"/>
  <c r="N201" i="6"/>
  <c r="M202" i="6"/>
  <c r="N202" i="6"/>
  <c r="M203" i="6"/>
  <c r="N203" i="6"/>
  <c r="M204" i="6"/>
  <c r="N204" i="6"/>
  <c r="M205" i="6"/>
  <c r="N205" i="6"/>
  <c r="M206" i="6"/>
  <c r="N206" i="6"/>
  <c r="M207" i="6"/>
  <c r="N207" i="6"/>
  <c r="M208" i="6"/>
  <c r="N208" i="6"/>
  <c r="M209" i="6"/>
  <c r="N209" i="6"/>
  <c r="M210" i="6"/>
  <c r="N210" i="6"/>
  <c r="M211" i="6"/>
  <c r="N211" i="6"/>
  <c r="M212" i="6"/>
  <c r="N212" i="6"/>
  <c r="M213" i="6"/>
  <c r="N213" i="6"/>
  <c r="M214" i="6"/>
  <c r="N214" i="6"/>
  <c r="M215" i="6"/>
  <c r="N215" i="6"/>
  <c r="M216" i="6"/>
  <c r="N216" i="6"/>
  <c r="M217" i="6"/>
  <c r="N217" i="6"/>
  <c r="M218" i="6"/>
  <c r="N218" i="6"/>
  <c r="M219" i="6"/>
  <c r="N219" i="6"/>
  <c r="M220" i="6"/>
  <c r="N220" i="6"/>
  <c r="M221" i="6"/>
  <c r="N221" i="6"/>
  <c r="M222" i="6"/>
  <c r="N222" i="6"/>
  <c r="M223" i="6"/>
  <c r="N223" i="6"/>
  <c r="M224" i="6"/>
  <c r="N224" i="6"/>
  <c r="M225" i="6"/>
  <c r="N225" i="6"/>
  <c r="M226" i="6"/>
  <c r="N226" i="6"/>
  <c r="M227" i="6"/>
  <c r="N227" i="6"/>
  <c r="M228" i="6"/>
  <c r="N228" i="6"/>
  <c r="M229" i="6"/>
  <c r="N229" i="6"/>
  <c r="M230" i="6"/>
  <c r="N230" i="6"/>
  <c r="M231" i="6"/>
  <c r="N231" i="6"/>
  <c r="M232" i="6"/>
  <c r="N232" i="6"/>
  <c r="M233" i="6"/>
  <c r="N233" i="6"/>
  <c r="M234" i="6"/>
  <c r="N234" i="6"/>
  <c r="M235" i="6"/>
  <c r="N235" i="6"/>
  <c r="M236" i="6"/>
  <c r="N236" i="6"/>
  <c r="M237" i="6"/>
  <c r="N237" i="6"/>
  <c r="M238" i="6"/>
  <c r="N238" i="6"/>
  <c r="M239" i="6"/>
  <c r="N239" i="6"/>
  <c r="M240" i="6"/>
  <c r="N240" i="6"/>
  <c r="M241" i="6"/>
  <c r="N241" i="6"/>
  <c r="M242" i="6"/>
  <c r="N242" i="6"/>
  <c r="M243" i="6"/>
  <c r="N243" i="6"/>
  <c r="M244" i="6"/>
  <c r="N244" i="6"/>
  <c r="M245" i="6"/>
  <c r="N245" i="6"/>
  <c r="M246" i="6"/>
  <c r="N246" i="6"/>
  <c r="M247" i="6"/>
  <c r="N247" i="6"/>
  <c r="M248" i="6"/>
  <c r="N248" i="6"/>
  <c r="M249" i="6"/>
  <c r="N249" i="6"/>
  <c r="M250" i="6"/>
  <c r="N250" i="6"/>
  <c r="M251" i="6"/>
  <c r="N251" i="6"/>
  <c r="M252" i="6"/>
  <c r="N252" i="6"/>
  <c r="M253" i="6"/>
  <c r="N253" i="6"/>
  <c r="M254" i="6"/>
  <c r="N254" i="6"/>
  <c r="M255" i="6"/>
  <c r="N255" i="6"/>
  <c r="M256" i="6"/>
  <c r="N256" i="6"/>
  <c r="M257" i="6"/>
  <c r="N257" i="6"/>
  <c r="M258" i="6"/>
  <c r="N258" i="6"/>
  <c r="M259" i="6"/>
  <c r="N259" i="6"/>
  <c r="M260" i="6"/>
  <c r="N260" i="6"/>
  <c r="M261" i="6"/>
  <c r="N261" i="6"/>
  <c r="M262" i="6"/>
  <c r="N262" i="6"/>
  <c r="M263" i="6"/>
  <c r="N263" i="6"/>
  <c r="M264" i="6"/>
  <c r="N264" i="6"/>
  <c r="M265" i="6"/>
  <c r="N265" i="6"/>
  <c r="M266" i="6"/>
  <c r="N266" i="6"/>
  <c r="M267" i="6"/>
  <c r="N267" i="6"/>
  <c r="M268" i="6"/>
  <c r="N268" i="6"/>
  <c r="M269" i="6"/>
  <c r="N269" i="6"/>
  <c r="M270" i="6"/>
  <c r="N270" i="6"/>
  <c r="M271" i="6"/>
  <c r="N271" i="6"/>
  <c r="M272" i="6"/>
  <c r="N272" i="6"/>
  <c r="M273" i="6"/>
  <c r="N273" i="6"/>
  <c r="M274" i="6"/>
  <c r="N274" i="6"/>
  <c r="M275" i="6"/>
  <c r="N275" i="6"/>
  <c r="M276" i="6"/>
  <c r="N276" i="6"/>
  <c r="M277" i="6"/>
  <c r="N277" i="6"/>
  <c r="M278" i="6"/>
  <c r="N278" i="6"/>
  <c r="M279" i="6"/>
  <c r="N279" i="6"/>
  <c r="M280" i="6"/>
  <c r="N280" i="6"/>
  <c r="M281" i="6"/>
  <c r="N281" i="6"/>
  <c r="M282" i="6"/>
  <c r="N282" i="6"/>
  <c r="M283" i="6"/>
  <c r="N283" i="6"/>
  <c r="M284" i="6"/>
  <c r="N284" i="6"/>
  <c r="M285" i="6"/>
  <c r="N285" i="6"/>
  <c r="M286" i="6"/>
  <c r="N286" i="6"/>
  <c r="M287" i="6"/>
  <c r="N287" i="6"/>
  <c r="M288" i="6"/>
  <c r="N288" i="6"/>
  <c r="M289" i="6"/>
  <c r="N289" i="6"/>
  <c r="M290" i="6"/>
  <c r="N290" i="6"/>
  <c r="M291" i="6"/>
  <c r="N291" i="6"/>
  <c r="M292" i="6"/>
  <c r="N292" i="6"/>
  <c r="M293" i="6"/>
  <c r="N293" i="6"/>
  <c r="M294" i="6"/>
  <c r="N294" i="6"/>
  <c r="M295" i="6"/>
  <c r="N295" i="6"/>
  <c r="M296" i="6"/>
  <c r="N296" i="6"/>
  <c r="M297" i="6"/>
  <c r="N297" i="6"/>
  <c r="M298" i="6"/>
  <c r="N298" i="6"/>
  <c r="M299" i="6"/>
  <c r="N299" i="6"/>
  <c r="M300" i="6"/>
  <c r="N300" i="6"/>
  <c r="M301" i="6"/>
  <c r="N301" i="6"/>
  <c r="M302" i="6"/>
  <c r="N302" i="6"/>
  <c r="M303" i="6"/>
  <c r="N303" i="6"/>
  <c r="M304" i="6"/>
  <c r="N304" i="6"/>
  <c r="M305" i="6"/>
  <c r="N305" i="6"/>
  <c r="M306" i="6"/>
  <c r="N306" i="6"/>
  <c r="M307" i="6"/>
  <c r="N307" i="6"/>
  <c r="M308" i="6"/>
  <c r="N308" i="6"/>
  <c r="M309" i="6"/>
  <c r="N309" i="6"/>
  <c r="M310" i="6"/>
  <c r="N310" i="6"/>
  <c r="M311" i="6"/>
  <c r="N311" i="6"/>
  <c r="M312" i="6"/>
  <c r="N312" i="6"/>
  <c r="M313" i="6"/>
  <c r="N313" i="6"/>
  <c r="M314" i="6"/>
  <c r="N314" i="6"/>
  <c r="M315" i="6"/>
  <c r="N315" i="6"/>
  <c r="M316" i="6"/>
  <c r="N316" i="6"/>
  <c r="M317" i="6"/>
  <c r="N317" i="6"/>
  <c r="M318" i="6"/>
  <c r="N318" i="6"/>
  <c r="M319" i="6"/>
  <c r="N319" i="6"/>
  <c r="M320" i="6"/>
  <c r="N320" i="6"/>
  <c r="M321" i="6"/>
  <c r="N321" i="6"/>
  <c r="M322" i="6"/>
  <c r="N322" i="6"/>
  <c r="M323" i="6"/>
  <c r="N323" i="6"/>
  <c r="M324" i="6"/>
  <c r="N324" i="6"/>
  <c r="M325" i="6"/>
  <c r="N325" i="6"/>
  <c r="M326" i="6"/>
  <c r="N326" i="6"/>
  <c r="M327" i="6"/>
  <c r="N327" i="6"/>
  <c r="M328" i="6"/>
  <c r="N328" i="6"/>
  <c r="M329" i="6"/>
  <c r="N329" i="6"/>
  <c r="M330" i="6"/>
  <c r="N330" i="6"/>
  <c r="M331" i="6"/>
  <c r="N331" i="6"/>
  <c r="M332" i="6"/>
  <c r="N332" i="6"/>
  <c r="M333" i="6"/>
  <c r="N333" i="6"/>
  <c r="M334" i="6"/>
  <c r="N334" i="6"/>
  <c r="M335" i="6"/>
  <c r="N335" i="6"/>
  <c r="M336" i="6"/>
  <c r="N336" i="6"/>
  <c r="M337" i="6"/>
  <c r="N337" i="6"/>
  <c r="M338" i="6"/>
  <c r="N338" i="6"/>
  <c r="M339" i="6"/>
  <c r="N339" i="6"/>
  <c r="M340" i="6"/>
  <c r="N340" i="6"/>
  <c r="M341" i="6"/>
  <c r="N341" i="6"/>
  <c r="M342" i="6"/>
  <c r="N342" i="6"/>
  <c r="M343" i="6"/>
  <c r="N343" i="6"/>
  <c r="M344" i="6"/>
  <c r="N344" i="6"/>
  <c r="M345" i="6"/>
  <c r="N345" i="6"/>
  <c r="M346" i="6"/>
  <c r="N346" i="6"/>
  <c r="M347" i="6"/>
  <c r="N347" i="6"/>
  <c r="M348" i="6"/>
  <c r="N348" i="6"/>
  <c r="M349" i="6"/>
  <c r="N349" i="6"/>
  <c r="M350" i="6"/>
  <c r="N350" i="6"/>
  <c r="M351" i="6"/>
  <c r="N351" i="6"/>
  <c r="M352" i="6"/>
  <c r="N352" i="6"/>
  <c r="M353" i="6"/>
  <c r="N353" i="6"/>
  <c r="M354" i="6"/>
  <c r="N354" i="6"/>
  <c r="M355" i="6"/>
  <c r="N355" i="6"/>
  <c r="M356" i="6"/>
  <c r="N356" i="6"/>
  <c r="M357" i="6"/>
  <c r="N357" i="6"/>
  <c r="M358" i="6"/>
  <c r="N358" i="6"/>
  <c r="M359" i="6"/>
  <c r="N359" i="6"/>
  <c r="M360" i="6"/>
  <c r="N360" i="6"/>
  <c r="M361" i="6"/>
  <c r="N361" i="6"/>
  <c r="M362" i="6"/>
  <c r="N362" i="6"/>
  <c r="M363" i="6"/>
  <c r="N363" i="6"/>
  <c r="M364" i="6"/>
  <c r="N364" i="6"/>
  <c r="M365" i="6"/>
  <c r="N365" i="6"/>
  <c r="M366" i="6"/>
  <c r="N366" i="6"/>
  <c r="M367" i="6"/>
  <c r="N367" i="6"/>
  <c r="M368" i="6"/>
  <c r="N368" i="6"/>
  <c r="M369" i="6"/>
  <c r="N369" i="6"/>
  <c r="M370" i="6"/>
  <c r="N370" i="6"/>
  <c r="M371" i="6"/>
  <c r="N371" i="6"/>
  <c r="M372" i="6"/>
  <c r="N372" i="6"/>
  <c r="M373" i="6"/>
  <c r="N373" i="6"/>
  <c r="M374" i="6"/>
  <c r="N374" i="6"/>
  <c r="M375" i="6"/>
  <c r="N375" i="6"/>
  <c r="M376" i="6"/>
  <c r="N376" i="6"/>
  <c r="M377" i="6"/>
  <c r="N377" i="6"/>
  <c r="M378" i="6"/>
  <c r="N378" i="6"/>
  <c r="M379" i="6"/>
  <c r="N379" i="6"/>
  <c r="M380" i="6"/>
  <c r="N380" i="6"/>
  <c r="M381" i="6"/>
  <c r="N381" i="6"/>
  <c r="M382" i="6"/>
  <c r="N382" i="6"/>
  <c r="M383" i="6"/>
  <c r="N383" i="6"/>
  <c r="M384" i="6"/>
  <c r="N384" i="6"/>
  <c r="M385" i="6"/>
  <c r="N385" i="6"/>
  <c r="M386" i="6"/>
  <c r="N386" i="6"/>
  <c r="M387" i="6"/>
  <c r="N387" i="6"/>
  <c r="M388" i="6"/>
  <c r="N388" i="6"/>
  <c r="M389" i="6"/>
  <c r="N389" i="6"/>
  <c r="M390" i="6"/>
  <c r="N390" i="6"/>
  <c r="M391" i="6"/>
  <c r="N391" i="6"/>
  <c r="M392" i="6"/>
  <c r="N392" i="6"/>
  <c r="M393" i="6"/>
  <c r="N393" i="6"/>
  <c r="M394" i="6"/>
  <c r="N394" i="6"/>
  <c r="M395" i="6"/>
  <c r="N395" i="6"/>
  <c r="M396" i="6"/>
  <c r="N396" i="6"/>
  <c r="M397" i="6"/>
  <c r="N397" i="6"/>
  <c r="M398" i="6"/>
  <c r="N398" i="6"/>
  <c r="M399" i="6"/>
  <c r="N399" i="6"/>
  <c r="M400" i="6"/>
  <c r="N400" i="6"/>
  <c r="M401" i="6"/>
  <c r="N401" i="6"/>
  <c r="M402" i="6"/>
  <c r="N402" i="6"/>
  <c r="M403" i="6"/>
  <c r="N403" i="6"/>
  <c r="M404" i="6"/>
  <c r="N404" i="6"/>
  <c r="M405" i="6"/>
  <c r="N405" i="6"/>
  <c r="M406" i="6"/>
  <c r="N406" i="6"/>
  <c r="M407" i="6"/>
  <c r="N407" i="6"/>
  <c r="M408" i="6"/>
  <c r="N408" i="6"/>
  <c r="M409" i="6"/>
  <c r="N409" i="6"/>
  <c r="M410" i="6"/>
  <c r="N410" i="6"/>
  <c r="M411" i="6"/>
  <c r="N411" i="6"/>
  <c r="M412" i="6"/>
  <c r="N412" i="6"/>
  <c r="M413" i="6"/>
  <c r="N413" i="6"/>
  <c r="M414" i="6"/>
  <c r="N414" i="6"/>
  <c r="M415" i="6"/>
  <c r="N415" i="6"/>
  <c r="M416" i="6"/>
  <c r="N416" i="6"/>
  <c r="M417" i="6"/>
  <c r="N417" i="6"/>
  <c r="M418" i="6"/>
  <c r="N418" i="6"/>
  <c r="M419" i="6"/>
  <c r="N419" i="6"/>
  <c r="M420" i="6"/>
  <c r="N420" i="6"/>
  <c r="M421" i="6"/>
  <c r="N421" i="6"/>
  <c r="M422" i="6"/>
  <c r="N422" i="6"/>
  <c r="M423" i="6"/>
  <c r="N423" i="6"/>
  <c r="M424" i="6"/>
  <c r="N424" i="6"/>
  <c r="M425" i="6"/>
  <c r="N425" i="6"/>
  <c r="M426" i="6"/>
  <c r="N426" i="6"/>
  <c r="M427" i="6"/>
  <c r="N427" i="6"/>
  <c r="M428" i="6"/>
  <c r="N428" i="6"/>
  <c r="M429" i="6"/>
  <c r="N429" i="6"/>
  <c r="M430" i="6"/>
  <c r="N430" i="6"/>
  <c r="M431" i="6"/>
  <c r="N431" i="6"/>
  <c r="M432" i="6"/>
  <c r="N432" i="6"/>
  <c r="M433" i="6"/>
  <c r="N433" i="6"/>
  <c r="M434" i="6"/>
  <c r="N434" i="6"/>
  <c r="M435" i="6"/>
  <c r="N435" i="6"/>
  <c r="M436" i="6"/>
  <c r="N436" i="6"/>
  <c r="M437" i="6"/>
  <c r="N437" i="6"/>
  <c r="M438" i="6"/>
  <c r="N438" i="6"/>
  <c r="M439" i="6"/>
  <c r="N439" i="6"/>
  <c r="M440" i="6"/>
  <c r="N440" i="6"/>
  <c r="M441" i="6"/>
  <c r="N441" i="6"/>
  <c r="M442" i="6"/>
  <c r="N442" i="6"/>
  <c r="M443" i="6"/>
  <c r="N443" i="6"/>
  <c r="M444" i="6"/>
  <c r="N444" i="6"/>
  <c r="M445" i="6"/>
  <c r="N445" i="6"/>
  <c r="M446" i="6"/>
  <c r="N446" i="6"/>
  <c r="M447" i="6"/>
  <c r="N447" i="6"/>
  <c r="M448" i="6"/>
  <c r="N448" i="6"/>
  <c r="M449" i="6"/>
  <c r="N449" i="6"/>
  <c r="M450" i="6"/>
  <c r="N450" i="6"/>
  <c r="M451" i="6"/>
  <c r="N451" i="6"/>
  <c r="M452" i="6"/>
  <c r="N452" i="6"/>
  <c r="M453" i="6"/>
  <c r="N453" i="6"/>
  <c r="M454" i="6"/>
  <c r="N454" i="6"/>
  <c r="M455" i="6"/>
  <c r="N455" i="6"/>
  <c r="M456" i="6"/>
  <c r="N456" i="6"/>
  <c r="M457" i="6"/>
  <c r="N457" i="6"/>
  <c r="M458" i="6"/>
  <c r="N458" i="6"/>
  <c r="M459" i="6"/>
  <c r="N459" i="6"/>
  <c r="M460" i="6"/>
  <c r="N460" i="6"/>
  <c r="M461" i="6"/>
  <c r="N461" i="6"/>
  <c r="M462" i="6"/>
  <c r="N462" i="6"/>
  <c r="M463" i="6"/>
  <c r="N463" i="6"/>
  <c r="M464" i="6"/>
  <c r="N464" i="6"/>
  <c r="M465" i="6"/>
  <c r="N465" i="6"/>
  <c r="M466" i="6"/>
  <c r="N466" i="6"/>
  <c r="M467" i="6"/>
  <c r="N467" i="6"/>
  <c r="M468" i="6"/>
  <c r="N468" i="6"/>
  <c r="M469" i="6"/>
  <c r="N469" i="6"/>
  <c r="M470" i="6"/>
  <c r="N470" i="6"/>
  <c r="M471" i="6"/>
  <c r="N471" i="6"/>
  <c r="M472" i="6"/>
  <c r="N472" i="6"/>
  <c r="M473" i="6"/>
  <c r="N473" i="6"/>
  <c r="M474" i="6"/>
  <c r="N474" i="6"/>
  <c r="M475" i="6"/>
  <c r="N475" i="6"/>
  <c r="M476" i="6"/>
  <c r="N476" i="6"/>
  <c r="M477" i="6"/>
  <c r="N477" i="6"/>
  <c r="M478" i="6"/>
  <c r="N478" i="6"/>
  <c r="M479" i="6"/>
  <c r="N479" i="6"/>
  <c r="M480" i="6"/>
  <c r="N480" i="6"/>
  <c r="M481" i="6"/>
  <c r="N481" i="6"/>
  <c r="M482" i="6"/>
  <c r="N482" i="6"/>
  <c r="M483" i="6"/>
  <c r="N483" i="6"/>
  <c r="M484" i="6"/>
  <c r="N484" i="6"/>
  <c r="M485" i="6"/>
  <c r="N485" i="6"/>
  <c r="M486" i="6"/>
  <c r="N486" i="6"/>
  <c r="M487" i="6"/>
  <c r="N487" i="6"/>
  <c r="M488" i="6"/>
  <c r="N488" i="6"/>
  <c r="M489" i="6"/>
  <c r="N489" i="6"/>
  <c r="M490" i="6"/>
  <c r="N490" i="6"/>
  <c r="M491" i="6"/>
  <c r="N491" i="6"/>
  <c r="M492" i="6"/>
  <c r="N492" i="6"/>
  <c r="M493" i="6"/>
  <c r="N493" i="6"/>
  <c r="M494" i="6"/>
  <c r="N494" i="6"/>
  <c r="M495" i="6"/>
  <c r="N495" i="6"/>
  <c r="M496" i="6"/>
  <c r="N496" i="6"/>
  <c r="M497" i="6"/>
  <c r="N497" i="6"/>
  <c r="M498" i="6"/>
  <c r="N498" i="6"/>
  <c r="M499" i="6"/>
  <c r="N499" i="6"/>
  <c r="M500" i="6"/>
  <c r="N500" i="6"/>
  <c r="M501" i="6"/>
  <c r="N501" i="6"/>
  <c r="M502" i="6"/>
  <c r="N502" i="6"/>
  <c r="M503" i="6"/>
  <c r="N503" i="6"/>
  <c r="M504" i="6"/>
  <c r="N504" i="6"/>
  <c r="M505" i="6"/>
  <c r="N505" i="6"/>
  <c r="M506" i="6"/>
  <c r="N506" i="6"/>
  <c r="M507" i="6"/>
  <c r="N507" i="6"/>
  <c r="M508" i="6"/>
  <c r="N508" i="6"/>
  <c r="M509" i="6"/>
  <c r="N509" i="6"/>
  <c r="M510" i="6"/>
  <c r="N510" i="6"/>
  <c r="M511" i="6"/>
  <c r="N511" i="6"/>
  <c r="M512" i="6"/>
  <c r="N512" i="6"/>
  <c r="M513" i="6"/>
  <c r="N513" i="6"/>
  <c r="M514" i="6"/>
  <c r="N514" i="6"/>
  <c r="M515" i="6"/>
  <c r="N515" i="6"/>
  <c r="M516" i="6"/>
  <c r="N516" i="6"/>
  <c r="M517" i="6"/>
  <c r="N517" i="6"/>
  <c r="M518" i="6"/>
  <c r="N518" i="6"/>
  <c r="M519" i="6"/>
  <c r="N519" i="6"/>
  <c r="M520" i="6"/>
  <c r="N520" i="6"/>
  <c r="M521" i="6"/>
  <c r="N521" i="6"/>
  <c r="M522" i="6"/>
  <c r="N522" i="6"/>
  <c r="M523" i="6"/>
  <c r="N523" i="6"/>
  <c r="M524" i="6"/>
  <c r="N524" i="6"/>
  <c r="M525" i="6"/>
  <c r="N525" i="6"/>
  <c r="M526" i="6"/>
  <c r="N526" i="6"/>
  <c r="M527" i="6"/>
  <c r="N527" i="6"/>
  <c r="M528" i="6"/>
  <c r="N528" i="6"/>
  <c r="M529" i="6"/>
  <c r="N529" i="6"/>
  <c r="M530" i="6"/>
  <c r="N530" i="6"/>
  <c r="M531" i="6"/>
  <c r="N531" i="6"/>
  <c r="M532" i="6"/>
  <c r="N532" i="6"/>
  <c r="M533" i="6"/>
  <c r="N533" i="6"/>
  <c r="M534" i="6"/>
  <c r="N534" i="6"/>
  <c r="M535" i="6"/>
  <c r="N535" i="6"/>
  <c r="M536" i="6"/>
  <c r="N536" i="6"/>
  <c r="M537" i="6"/>
  <c r="N537" i="6"/>
  <c r="M538" i="6"/>
  <c r="N538" i="6"/>
  <c r="M539" i="6"/>
  <c r="N539" i="6"/>
  <c r="M540" i="6"/>
  <c r="N540" i="6"/>
  <c r="M541" i="6"/>
  <c r="N541" i="6"/>
  <c r="M542" i="6"/>
  <c r="N542" i="6"/>
  <c r="M543" i="6"/>
  <c r="N543" i="6"/>
  <c r="M544" i="6"/>
  <c r="N544" i="6"/>
  <c r="M545" i="6"/>
  <c r="N545" i="6"/>
  <c r="M546" i="6"/>
  <c r="N546" i="6"/>
  <c r="M547" i="6"/>
  <c r="N547" i="6"/>
  <c r="M548" i="6"/>
  <c r="N548" i="6"/>
  <c r="M549" i="6"/>
  <c r="N549" i="6"/>
  <c r="M550" i="6"/>
  <c r="N550" i="6"/>
  <c r="M551" i="6"/>
  <c r="N551" i="6"/>
  <c r="M552" i="6"/>
  <c r="N552" i="6"/>
  <c r="M553" i="6"/>
  <c r="N553" i="6"/>
  <c r="M554" i="6"/>
  <c r="N554" i="6"/>
  <c r="M555" i="6"/>
  <c r="N555" i="6"/>
  <c r="M556" i="6"/>
  <c r="N556" i="6"/>
  <c r="M557" i="6"/>
  <c r="N557" i="6"/>
  <c r="M558" i="6"/>
  <c r="N558" i="6"/>
  <c r="M559" i="6"/>
  <c r="N559" i="6"/>
  <c r="M560" i="6"/>
  <c r="N560" i="6"/>
  <c r="M561" i="6"/>
  <c r="N561" i="6"/>
  <c r="M562" i="6"/>
  <c r="N562" i="6"/>
  <c r="M563" i="6"/>
  <c r="N563" i="6"/>
  <c r="M564" i="6"/>
  <c r="N564" i="6"/>
  <c r="M565" i="6"/>
  <c r="N565" i="6"/>
  <c r="M566" i="6"/>
  <c r="N566" i="6"/>
  <c r="M567" i="6"/>
  <c r="N567" i="6"/>
  <c r="M568" i="6"/>
  <c r="N568" i="6"/>
  <c r="M569" i="6"/>
  <c r="N569" i="6"/>
  <c r="M570" i="6"/>
  <c r="N570" i="6"/>
  <c r="M571" i="6"/>
  <c r="N571" i="6"/>
  <c r="M572" i="6"/>
  <c r="N572" i="6"/>
  <c r="M573" i="6"/>
  <c r="N573" i="6"/>
  <c r="M574" i="6"/>
  <c r="N574" i="6"/>
  <c r="M575" i="6"/>
  <c r="N575" i="6"/>
  <c r="M576" i="6"/>
  <c r="N576" i="6"/>
  <c r="M577" i="6"/>
  <c r="N577" i="6"/>
  <c r="M578" i="6"/>
  <c r="N578" i="6"/>
  <c r="M579" i="6"/>
  <c r="N579" i="6"/>
  <c r="M580" i="6"/>
  <c r="N580" i="6"/>
  <c r="M581" i="6"/>
  <c r="N581" i="6"/>
  <c r="M582" i="6"/>
  <c r="N582" i="6"/>
  <c r="M583" i="6"/>
  <c r="N583" i="6"/>
  <c r="M584" i="6"/>
  <c r="N584" i="6"/>
  <c r="M585" i="6"/>
  <c r="N585" i="6"/>
  <c r="M586" i="6"/>
  <c r="N586" i="6"/>
  <c r="M587" i="6"/>
  <c r="N587" i="6"/>
  <c r="M588" i="6"/>
  <c r="N588" i="6"/>
  <c r="M589" i="6"/>
  <c r="N589" i="6"/>
  <c r="M590" i="6"/>
  <c r="N590" i="6"/>
  <c r="M591" i="6"/>
  <c r="N591" i="6"/>
  <c r="M592" i="6"/>
  <c r="N592" i="6"/>
  <c r="M593" i="6"/>
  <c r="N593" i="6"/>
  <c r="M594" i="6"/>
  <c r="N594" i="6"/>
  <c r="M595" i="6"/>
  <c r="N595" i="6"/>
  <c r="M596" i="6"/>
  <c r="N596" i="6"/>
  <c r="M597" i="6"/>
  <c r="N597" i="6"/>
  <c r="M598" i="6"/>
  <c r="N598" i="6"/>
  <c r="M599" i="6"/>
  <c r="N599" i="6"/>
  <c r="M600" i="6"/>
  <c r="N600" i="6"/>
  <c r="M601" i="6"/>
  <c r="N601" i="6"/>
  <c r="M602" i="6"/>
  <c r="N602" i="6"/>
  <c r="M603" i="6"/>
  <c r="N603" i="6"/>
  <c r="M604" i="6"/>
  <c r="N604" i="6"/>
  <c r="M605" i="6"/>
  <c r="N605" i="6"/>
  <c r="M606" i="6"/>
  <c r="N606" i="6"/>
  <c r="M607" i="6"/>
  <c r="N607" i="6"/>
  <c r="M608" i="6"/>
  <c r="N608" i="6"/>
  <c r="M609" i="6"/>
  <c r="N609" i="6"/>
  <c r="M610" i="6"/>
  <c r="N610" i="6"/>
  <c r="M611" i="6"/>
  <c r="N611" i="6"/>
  <c r="M612" i="6"/>
  <c r="N612" i="6"/>
  <c r="M613" i="6"/>
  <c r="N613" i="6"/>
  <c r="M614" i="6"/>
  <c r="N614" i="6"/>
  <c r="M615" i="6"/>
  <c r="N615" i="6"/>
  <c r="M616" i="6"/>
  <c r="N616" i="6"/>
  <c r="M617" i="6"/>
  <c r="N617" i="6"/>
  <c r="M618" i="6"/>
  <c r="N618" i="6"/>
  <c r="M619" i="6"/>
  <c r="N619" i="6"/>
  <c r="M620" i="6"/>
  <c r="N620" i="6"/>
  <c r="M621" i="6"/>
  <c r="N621" i="6"/>
  <c r="M622" i="6"/>
  <c r="N622" i="6"/>
  <c r="M623" i="6"/>
  <c r="N623" i="6"/>
  <c r="M624" i="6"/>
  <c r="N624" i="6"/>
  <c r="M625" i="6"/>
  <c r="N625" i="6"/>
  <c r="M626" i="6"/>
  <c r="N626" i="6"/>
  <c r="M627" i="6"/>
  <c r="N627" i="6"/>
  <c r="M628" i="6"/>
  <c r="N628" i="6"/>
  <c r="M629" i="6"/>
  <c r="N629" i="6"/>
  <c r="M630" i="6"/>
  <c r="N630" i="6"/>
  <c r="M631" i="6"/>
  <c r="N631" i="6"/>
  <c r="M632" i="6"/>
  <c r="N632" i="6"/>
  <c r="M633" i="6"/>
  <c r="N633" i="6"/>
  <c r="M634" i="6"/>
  <c r="N634" i="6"/>
  <c r="M635" i="6"/>
  <c r="N635" i="6"/>
  <c r="M636" i="6"/>
  <c r="N636" i="6"/>
  <c r="M637" i="6"/>
  <c r="N637" i="6"/>
  <c r="M638" i="6"/>
  <c r="N638" i="6"/>
  <c r="M639" i="6"/>
  <c r="N639" i="6"/>
  <c r="M640" i="6"/>
  <c r="N640" i="6"/>
  <c r="M641" i="6"/>
  <c r="N641" i="6"/>
  <c r="M642" i="6"/>
  <c r="N642" i="6"/>
  <c r="M643" i="6"/>
  <c r="N643" i="6"/>
  <c r="M644" i="6"/>
  <c r="N644" i="6"/>
  <c r="M645" i="6"/>
  <c r="N645" i="6"/>
  <c r="M646" i="6"/>
  <c r="N646" i="6"/>
  <c r="M647" i="6"/>
  <c r="N647" i="6"/>
  <c r="M648" i="6"/>
  <c r="N648" i="6"/>
  <c r="M649" i="6"/>
  <c r="N649" i="6"/>
  <c r="M650" i="6"/>
  <c r="N650" i="6"/>
  <c r="M651" i="6"/>
  <c r="N651" i="6"/>
  <c r="M652" i="6"/>
  <c r="N652" i="6"/>
  <c r="M653" i="6"/>
  <c r="N653" i="6"/>
  <c r="M654" i="6"/>
  <c r="N654" i="6"/>
  <c r="M655" i="6"/>
  <c r="N655" i="6"/>
  <c r="M656" i="6"/>
  <c r="N656" i="6"/>
  <c r="M657" i="6"/>
  <c r="N657" i="6"/>
  <c r="M658" i="6"/>
  <c r="N658" i="6"/>
  <c r="M659" i="6"/>
  <c r="N659" i="6"/>
  <c r="M660" i="6"/>
  <c r="N660" i="6"/>
  <c r="M661" i="6"/>
  <c r="N661" i="6"/>
  <c r="M662" i="6"/>
  <c r="N662" i="6"/>
  <c r="M663" i="6"/>
  <c r="N663" i="6"/>
  <c r="M664" i="6"/>
  <c r="N664" i="6"/>
  <c r="M665" i="6"/>
  <c r="N665" i="6"/>
  <c r="M666" i="6"/>
  <c r="N666" i="6"/>
  <c r="M667" i="6"/>
  <c r="N667" i="6"/>
  <c r="M668" i="6"/>
  <c r="N668" i="6"/>
  <c r="M669" i="6"/>
  <c r="N669" i="6"/>
  <c r="M670" i="6"/>
  <c r="N670" i="6"/>
  <c r="M671" i="6"/>
  <c r="N671" i="6"/>
  <c r="M672" i="6"/>
  <c r="N672" i="6"/>
  <c r="M673" i="6"/>
  <c r="N673" i="6"/>
  <c r="M674" i="6"/>
  <c r="N674" i="6"/>
  <c r="M675" i="6"/>
  <c r="N675" i="6"/>
  <c r="M676" i="6"/>
  <c r="N676" i="6"/>
  <c r="M677" i="6"/>
  <c r="N677" i="6"/>
  <c r="M678" i="6"/>
  <c r="N678" i="6"/>
  <c r="M679" i="6"/>
  <c r="N679" i="6"/>
  <c r="M680" i="6"/>
  <c r="N680" i="6"/>
  <c r="M681" i="6"/>
  <c r="N681" i="6"/>
  <c r="M682" i="6"/>
  <c r="N682" i="6"/>
  <c r="M683" i="6"/>
  <c r="N683" i="6"/>
  <c r="M684" i="6"/>
  <c r="N684" i="6"/>
  <c r="M685" i="6"/>
  <c r="N685" i="6"/>
  <c r="M686" i="6"/>
  <c r="N686" i="6"/>
  <c r="M687" i="6"/>
  <c r="N687" i="6"/>
  <c r="M688" i="6"/>
  <c r="N688" i="6"/>
  <c r="M689" i="6"/>
  <c r="N689" i="6"/>
  <c r="M690" i="6"/>
  <c r="N690" i="6"/>
  <c r="M691" i="6"/>
  <c r="N691" i="6"/>
  <c r="M692" i="6"/>
  <c r="N692" i="6"/>
  <c r="M693" i="6"/>
  <c r="N693" i="6"/>
  <c r="M694" i="6"/>
  <c r="N694" i="6"/>
  <c r="M695" i="6"/>
  <c r="N695" i="6"/>
  <c r="M696" i="6"/>
  <c r="N696" i="6"/>
  <c r="M697" i="6"/>
  <c r="N697" i="6"/>
  <c r="M698" i="6"/>
  <c r="N698" i="6"/>
  <c r="M699" i="6"/>
  <c r="N699" i="6"/>
  <c r="M700" i="6"/>
  <c r="N700" i="6"/>
  <c r="M701" i="6"/>
  <c r="N701" i="6"/>
  <c r="M702" i="6"/>
  <c r="N702" i="6"/>
  <c r="M703" i="6"/>
  <c r="N703" i="6"/>
  <c r="M704" i="6"/>
  <c r="N704" i="6"/>
  <c r="M705" i="6"/>
  <c r="N705" i="6"/>
  <c r="M706" i="6"/>
  <c r="N706" i="6"/>
  <c r="M707" i="6"/>
  <c r="N707" i="6"/>
  <c r="M708" i="6"/>
  <c r="N708" i="6"/>
  <c r="M709" i="6"/>
  <c r="N709" i="6"/>
  <c r="M710" i="6"/>
  <c r="N710" i="6"/>
  <c r="M711" i="6"/>
  <c r="N711" i="6"/>
  <c r="M712" i="6"/>
  <c r="N712" i="6"/>
  <c r="M713" i="6"/>
  <c r="N713" i="6"/>
  <c r="M714" i="6"/>
  <c r="N714" i="6"/>
  <c r="M715" i="6"/>
  <c r="N715" i="6"/>
  <c r="M716" i="6"/>
  <c r="N716" i="6"/>
  <c r="M717" i="6"/>
  <c r="N717" i="6"/>
  <c r="M718" i="6"/>
  <c r="N718" i="6"/>
  <c r="M719" i="6"/>
  <c r="N719" i="6"/>
  <c r="M720" i="6"/>
  <c r="N720" i="6"/>
  <c r="M721" i="6"/>
  <c r="N721" i="6"/>
  <c r="M722" i="6"/>
  <c r="N722" i="6"/>
  <c r="M723" i="6"/>
  <c r="N723" i="6"/>
  <c r="M724" i="6"/>
  <c r="N724" i="6"/>
  <c r="M725" i="6"/>
  <c r="N725" i="6"/>
  <c r="M726" i="6"/>
  <c r="N726" i="6"/>
  <c r="M727" i="6"/>
  <c r="N727" i="6"/>
  <c r="M728" i="6"/>
  <c r="N728" i="6"/>
  <c r="M729" i="6"/>
  <c r="N729" i="6"/>
  <c r="M730" i="6"/>
  <c r="N730" i="6"/>
  <c r="M731" i="6"/>
  <c r="N731" i="6"/>
  <c r="M732" i="6"/>
  <c r="N732" i="6"/>
  <c r="M733" i="6"/>
  <c r="N733" i="6"/>
  <c r="M734" i="6"/>
  <c r="N734" i="6"/>
  <c r="M735" i="6"/>
  <c r="N735" i="6"/>
  <c r="M736" i="6"/>
  <c r="N736" i="6"/>
  <c r="M737" i="6"/>
  <c r="N737" i="6"/>
  <c r="M738" i="6"/>
  <c r="N738" i="6"/>
  <c r="M739" i="6"/>
  <c r="N739" i="6"/>
  <c r="M740" i="6"/>
  <c r="N740" i="6"/>
  <c r="M741" i="6"/>
  <c r="N741" i="6"/>
  <c r="M742" i="6"/>
  <c r="N742" i="6"/>
  <c r="M743" i="6"/>
  <c r="N743" i="6"/>
  <c r="M744" i="6"/>
  <c r="N744" i="6"/>
  <c r="M745" i="6"/>
  <c r="N745" i="6"/>
  <c r="M746" i="6"/>
  <c r="N746" i="6"/>
  <c r="M747" i="6"/>
  <c r="N747" i="6"/>
  <c r="M748" i="6"/>
  <c r="N748" i="6"/>
  <c r="M749" i="6"/>
  <c r="N749" i="6"/>
  <c r="M750" i="6"/>
  <c r="N750" i="6"/>
  <c r="M751" i="6"/>
  <c r="N751" i="6"/>
  <c r="M752" i="6"/>
  <c r="N752" i="6"/>
  <c r="M753" i="6"/>
  <c r="N753" i="6"/>
  <c r="M754" i="6"/>
  <c r="N754" i="6"/>
  <c r="M755" i="6"/>
  <c r="N755" i="6"/>
  <c r="M756" i="6"/>
  <c r="N756" i="6"/>
  <c r="M757" i="6"/>
  <c r="N757" i="6"/>
  <c r="M758" i="6"/>
  <c r="N758" i="6"/>
  <c r="M759" i="6"/>
  <c r="N759" i="6"/>
  <c r="M760" i="6"/>
  <c r="N760" i="6"/>
  <c r="M761" i="6"/>
  <c r="N761" i="6"/>
  <c r="M762" i="6"/>
  <c r="N762" i="6"/>
  <c r="M763" i="6"/>
  <c r="N763" i="6"/>
  <c r="M764" i="6"/>
  <c r="N764" i="6"/>
  <c r="M765" i="6"/>
  <c r="N765" i="6"/>
  <c r="M766" i="6"/>
  <c r="N766" i="6"/>
  <c r="M767" i="6"/>
  <c r="N767" i="6"/>
  <c r="M768" i="6"/>
  <c r="N768" i="6"/>
  <c r="M769" i="6"/>
  <c r="N769" i="6"/>
  <c r="M770" i="6"/>
  <c r="N770" i="6"/>
  <c r="M771" i="6"/>
  <c r="N771" i="6"/>
  <c r="M772" i="6"/>
  <c r="N772" i="6"/>
  <c r="M773" i="6"/>
  <c r="N773" i="6"/>
  <c r="M774" i="6"/>
  <c r="N774" i="6"/>
  <c r="M775" i="6"/>
  <c r="N775" i="6"/>
  <c r="M776" i="6"/>
  <c r="N776" i="6"/>
  <c r="M777" i="6"/>
  <c r="N777" i="6"/>
  <c r="M778" i="6"/>
  <c r="N778" i="6"/>
  <c r="M779" i="6"/>
  <c r="N779" i="6"/>
  <c r="M780" i="6"/>
  <c r="N780" i="6"/>
  <c r="M781" i="6"/>
  <c r="N781" i="6"/>
  <c r="M782" i="6"/>
  <c r="N782" i="6"/>
  <c r="M783" i="6"/>
  <c r="N783" i="6"/>
  <c r="M784" i="6"/>
  <c r="N784" i="6"/>
  <c r="M785" i="6"/>
  <c r="N785" i="6"/>
  <c r="M786" i="6"/>
  <c r="N786" i="6"/>
  <c r="M787" i="6"/>
  <c r="N787" i="6"/>
  <c r="M788" i="6"/>
  <c r="N788" i="6"/>
  <c r="M789" i="6"/>
  <c r="N789" i="6"/>
  <c r="M790" i="6"/>
  <c r="N790" i="6"/>
  <c r="M791" i="6"/>
  <c r="N791" i="6"/>
  <c r="M792" i="6"/>
  <c r="N792" i="6"/>
  <c r="M793" i="6"/>
  <c r="N793" i="6"/>
  <c r="M794" i="6"/>
  <c r="N794" i="6"/>
  <c r="M795" i="6"/>
  <c r="N795" i="6"/>
  <c r="M796" i="6"/>
  <c r="N796" i="6"/>
  <c r="M797" i="6"/>
  <c r="N797" i="6"/>
  <c r="M798" i="6"/>
  <c r="N798" i="6"/>
  <c r="M799" i="6"/>
  <c r="N799" i="6"/>
  <c r="M800" i="6"/>
  <c r="N800" i="6"/>
  <c r="M801" i="6"/>
  <c r="N801" i="6"/>
  <c r="M802" i="6"/>
  <c r="N802" i="6"/>
  <c r="M803" i="6"/>
  <c r="N803" i="6"/>
  <c r="M804" i="6"/>
  <c r="N804" i="6"/>
  <c r="M805" i="6"/>
  <c r="N805" i="6"/>
  <c r="M806" i="6"/>
  <c r="N806" i="6"/>
  <c r="M807" i="6"/>
  <c r="N807" i="6"/>
  <c r="M808" i="6"/>
  <c r="N808" i="6"/>
  <c r="M809" i="6"/>
  <c r="N809" i="6"/>
  <c r="M810" i="6"/>
  <c r="N810" i="6"/>
  <c r="M811" i="6"/>
  <c r="N811" i="6"/>
  <c r="M812" i="6"/>
  <c r="N812" i="6"/>
  <c r="M813" i="6"/>
  <c r="N813" i="6"/>
  <c r="M814" i="6"/>
  <c r="N814" i="6"/>
  <c r="M815" i="6"/>
  <c r="N815" i="6"/>
  <c r="M816" i="6"/>
  <c r="N816" i="6"/>
  <c r="M817" i="6"/>
  <c r="N817" i="6"/>
  <c r="M818" i="6"/>
  <c r="N818" i="6"/>
  <c r="M819" i="6"/>
  <c r="N819" i="6"/>
  <c r="M820" i="6"/>
  <c r="N820" i="6"/>
  <c r="M821" i="6"/>
  <c r="N821" i="6"/>
  <c r="M822" i="6"/>
  <c r="N822" i="6"/>
  <c r="M823" i="6"/>
  <c r="N823" i="6"/>
  <c r="M824" i="6"/>
  <c r="N824" i="6"/>
  <c r="M825" i="6"/>
  <c r="N825" i="6"/>
  <c r="M826" i="6"/>
  <c r="N826" i="6"/>
  <c r="O29" i="6"/>
  <c r="P29" i="6" s="1"/>
  <c r="Q29" i="6"/>
  <c r="R29" i="6" s="1"/>
  <c r="O30" i="6"/>
  <c r="P30" i="6"/>
  <c r="Q30" i="6"/>
  <c r="R30" i="6"/>
  <c r="O31" i="6"/>
  <c r="P31" i="6"/>
  <c r="Q31" i="6"/>
  <c r="R31" i="6"/>
  <c r="O32" i="6"/>
  <c r="P32" i="6"/>
  <c r="Q32" i="6"/>
  <c r="R32" i="6"/>
  <c r="O33" i="6"/>
  <c r="P33" i="6"/>
  <c r="Q33" i="6"/>
  <c r="R33" i="6"/>
  <c r="O34" i="6"/>
  <c r="P34" i="6"/>
  <c r="Q34" i="6"/>
  <c r="R34" i="6"/>
  <c r="O35" i="6"/>
  <c r="P35" i="6"/>
  <c r="Q35" i="6"/>
  <c r="R35" i="6"/>
  <c r="O36" i="6"/>
  <c r="P36" i="6"/>
  <c r="Q36" i="6"/>
  <c r="R36" i="6"/>
  <c r="O37" i="6"/>
  <c r="P37" i="6" s="1"/>
  <c r="Q37" i="6"/>
  <c r="O38" i="6"/>
  <c r="P38" i="6"/>
  <c r="Q38" i="6"/>
  <c r="R38" i="6"/>
  <c r="O39" i="6"/>
  <c r="P39" i="6"/>
  <c r="Q39" i="6"/>
  <c r="R39" i="6"/>
  <c r="O40" i="6"/>
  <c r="P40" i="6"/>
  <c r="Q40" i="6"/>
  <c r="R40" i="6"/>
  <c r="O41" i="6"/>
  <c r="P41" i="6"/>
  <c r="Q41" i="6"/>
  <c r="R41" i="6"/>
  <c r="O42" i="6"/>
  <c r="P42" i="6"/>
  <c r="Q42" i="6"/>
  <c r="R42" i="6"/>
  <c r="O43" i="6"/>
  <c r="P43" i="6"/>
  <c r="Q43" i="6"/>
  <c r="R43" i="6"/>
  <c r="O44" i="6"/>
  <c r="P44" i="6"/>
  <c r="Q44" i="6"/>
  <c r="R44" i="6"/>
  <c r="O45" i="6"/>
  <c r="P45" i="6"/>
  <c r="Q45" i="6"/>
  <c r="R45" i="6"/>
  <c r="O46" i="6"/>
  <c r="P46" i="6" s="1"/>
  <c r="Q46" i="6"/>
  <c r="R46" i="6" s="1"/>
  <c r="O47" i="6"/>
  <c r="P47" i="6"/>
  <c r="Q47" i="6"/>
  <c r="R47" i="6"/>
  <c r="O48" i="6"/>
  <c r="P48" i="6" s="1"/>
  <c r="Q48" i="6"/>
  <c r="R48" i="6" s="1"/>
  <c r="O49" i="6"/>
  <c r="P49" i="6"/>
  <c r="Q49" i="6"/>
  <c r="R49" i="6"/>
  <c r="O50" i="6"/>
  <c r="P50" i="6"/>
  <c r="Q50" i="6"/>
  <c r="O51" i="6"/>
  <c r="Q51" i="6"/>
  <c r="O52" i="6"/>
  <c r="P52" i="6"/>
  <c r="Q52" i="6"/>
  <c r="R52" i="6"/>
  <c r="O53" i="6"/>
  <c r="P53" i="6"/>
  <c r="Q53" i="6"/>
  <c r="R53" i="6"/>
  <c r="O54" i="6"/>
  <c r="P54" i="6"/>
  <c r="Q54" i="6"/>
  <c r="R54" i="6"/>
  <c r="O55" i="6"/>
  <c r="P55" i="6"/>
  <c r="Q55" i="6"/>
  <c r="R55" i="6"/>
  <c r="O56" i="6"/>
  <c r="P56" i="6"/>
  <c r="Q56" i="6"/>
  <c r="R56" i="6"/>
  <c r="O57" i="6"/>
  <c r="P57" i="6"/>
  <c r="Q57" i="6"/>
  <c r="R57" i="6"/>
  <c r="O58" i="6"/>
  <c r="P58" i="6"/>
  <c r="Q58" i="6"/>
  <c r="R58" i="6"/>
  <c r="O59" i="6"/>
  <c r="P59" i="6"/>
  <c r="Q59" i="6"/>
  <c r="R59" i="6"/>
  <c r="O60" i="6"/>
  <c r="P60" i="6"/>
  <c r="Q60" i="6"/>
  <c r="R60" i="6"/>
  <c r="O61" i="6"/>
  <c r="P61" i="6"/>
  <c r="Q61" i="6"/>
  <c r="R61" i="6"/>
  <c r="O62" i="6"/>
  <c r="P62" i="6"/>
  <c r="Q62" i="6"/>
  <c r="R62" i="6"/>
  <c r="O63" i="6"/>
  <c r="P63" i="6"/>
  <c r="Q63" i="6"/>
  <c r="R63" i="6"/>
  <c r="O64" i="6"/>
  <c r="P64" i="6"/>
  <c r="Q64" i="6"/>
  <c r="R64" i="6"/>
  <c r="O65" i="6"/>
  <c r="P65" i="6"/>
  <c r="Q65" i="6"/>
  <c r="R65" i="6"/>
  <c r="O66" i="6"/>
  <c r="P66" i="6"/>
  <c r="Q66" i="6"/>
  <c r="R66" i="6"/>
  <c r="O67" i="6"/>
  <c r="P67" i="6"/>
  <c r="Q67" i="6"/>
  <c r="R67" i="6"/>
  <c r="O68" i="6"/>
  <c r="P68" i="6"/>
  <c r="Q68" i="6"/>
  <c r="R68" i="6"/>
  <c r="O69" i="6"/>
  <c r="P69" i="6"/>
  <c r="Q69" i="6"/>
  <c r="R69" i="6"/>
  <c r="O70" i="6"/>
  <c r="P70" i="6" s="1"/>
  <c r="Q70" i="6"/>
  <c r="R70" i="6"/>
  <c r="O71" i="6"/>
  <c r="P71" i="6"/>
  <c r="Q71" i="6"/>
  <c r="R71" i="6"/>
  <c r="O72" i="6"/>
  <c r="P72" i="6"/>
  <c r="Q72" i="6"/>
  <c r="R72" i="6"/>
  <c r="O73" i="6"/>
  <c r="P73" i="6"/>
  <c r="Q73" i="6"/>
  <c r="R73" i="6"/>
  <c r="O74" i="6"/>
  <c r="P74" i="6"/>
  <c r="Q74" i="6"/>
  <c r="R74" i="6"/>
  <c r="O75" i="6"/>
  <c r="P75" i="6"/>
  <c r="Q75" i="6"/>
  <c r="R75" i="6"/>
  <c r="O76" i="6"/>
  <c r="P76" i="6"/>
  <c r="Q76" i="6"/>
  <c r="R76" i="6"/>
  <c r="O77" i="6"/>
  <c r="P77" i="6"/>
  <c r="Q77" i="6"/>
  <c r="R77" i="6"/>
  <c r="O78" i="6"/>
  <c r="P78" i="6"/>
  <c r="Q78" i="6"/>
  <c r="R78" i="6"/>
  <c r="O79" i="6"/>
  <c r="Q79" i="6"/>
  <c r="R79" i="6"/>
  <c r="O80" i="6"/>
  <c r="P80" i="6"/>
  <c r="Q80" i="6"/>
  <c r="R80" i="6"/>
  <c r="O81" i="6"/>
  <c r="P81" i="6"/>
  <c r="Q81" i="6"/>
  <c r="R81" i="6"/>
  <c r="O82" i="6"/>
  <c r="P82" i="6"/>
  <c r="Q82" i="6"/>
  <c r="R82" i="6"/>
  <c r="O83" i="6"/>
  <c r="Q83" i="6"/>
  <c r="O84" i="6"/>
  <c r="P84" i="6" s="1"/>
  <c r="Q84" i="6"/>
  <c r="R84" i="6" s="1"/>
  <c r="O85" i="6"/>
  <c r="P85" i="6"/>
  <c r="Q85" i="6"/>
  <c r="R85" i="6"/>
  <c r="O86" i="6"/>
  <c r="P86" i="6" s="1"/>
  <c r="Q86" i="6"/>
  <c r="O87" i="6"/>
  <c r="P87" i="6"/>
  <c r="Q87" i="6"/>
  <c r="R87" i="6"/>
  <c r="O88" i="6"/>
  <c r="P88" i="6"/>
  <c r="Q88" i="6"/>
  <c r="R88" i="6" s="1"/>
  <c r="O89" i="6"/>
  <c r="P89" i="6"/>
  <c r="Q89" i="6"/>
  <c r="R89" i="6"/>
  <c r="O90" i="6"/>
  <c r="P90" i="6"/>
  <c r="Q90" i="6"/>
  <c r="R90" i="6"/>
  <c r="O91" i="6"/>
  <c r="P91" i="6"/>
  <c r="Q91" i="6"/>
  <c r="R91" i="6"/>
  <c r="O92" i="6"/>
  <c r="P92" i="6"/>
  <c r="Q92" i="6"/>
  <c r="R92" i="6"/>
  <c r="O93" i="6"/>
  <c r="Q93" i="6"/>
  <c r="R93" i="6"/>
  <c r="O94" i="6"/>
  <c r="P94" i="6"/>
  <c r="Q94" i="6"/>
  <c r="R94" i="6"/>
  <c r="O95" i="6"/>
  <c r="P95" i="6"/>
  <c r="Q95" i="6"/>
  <c r="R95" i="6"/>
  <c r="O96" i="6"/>
  <c r="P96" i="6"/>
  <c r="Q96" i="6"/>
  <c r="R96" i="6"/>
  <c r="O97" i="6"/>
  <c r="P97" i="6"/>
  <c r="Q97" i="6"/>
  <c r="R97" i="6"/>
  <c r="O98" i="6"/>
  <c r="P98" i="6"/>
  <c r="Q98" i="6"/>
  <c r="R98" i="6"/>
  <c r="O99" i="6"/>
  <c r="P99" i="6"/>
  <c r="Q99" i="6"/>
  <c r="R99" i="6"/>
  <c r="O100" i="6"/>
  <c r="P100" i="6"/>
  <c r="Q100" i="6"/>
  <c r="R100" i="6"/>
  <c r="O101" i="6"/>
  <c r="P101" i="6"/>
  <c r="Q101" i="6"/>
  <c r="R101" i="6"/>
  <c r="O102" i="6"/>
  <c r="P102" i="6"/>
  <c r="Q102" i="6"/>
  <c r="R102" i="6"/>
  <c r="O103" i="6"/>
  <c r="P103" i="6"/>
  <c r="Q103" i="6"/>
  <c r="R103" i="6"/>
  <c r="O104" i="6"/>
  <c r="P104" i="6"/>
  <c r="Q104" i="6"/>
  <c r="R104" i="6"/>
  <c r="O105" i="6"/>
  <c r="P105" i="6"/>
  <c r="Q105" i="6"/>
  <c r="R105" i="6"/>
  <c r="O106" i="6"/>
  <c r="P106" i="6"/>
  <c r="Q106" i="6"/>
  <c r="R106" i="6"/>
  <c r="O107" i="6"/>
  <c r="P107" i="6"/>
  <c r="Q107" i="6"/>
  <c r="R107" i="6"/>
  <c r="O108" i="6"/>
  <c r="P108" i="6"/>
  <c r="Q108" i="6"/>
  <c r="R108" i="6"/>
  <c r="O109" i="6"/>
  <c r="P109" i="6"/>
  <c r="Q109" i="6"/>
  <c r="R109" i="6"/>
  <c r="O110" i="6"/>
  <c r="P110" i="6"/>
  <c r="Q110" i="6"/>
  <c r="R110" i="6"/>
  <c r="O111" i="6"/>
  <c r="P111" i="6"/>
  <c r="Q111" i="6"/>
  <c r="R111" i="6"/>
  <c r="O112" i="6"/>
  <c r="P112" i="6"/>
  <c r="Q112" i="6"/>
  <c r="R112" i="6"/>
  <c r="O113" i="6"/>
  <c r="P113" i="6"/>
  <c r="Q113" i="6"/>
  <c r="R113" i="6"/>
  <c r="O114" i="6"/>
  <c r="Q114" i="6"/>
  <c r="O115" i="6"/>
  <c r="P115" i="6"/>
  <c r="Q115" i="6"/>
  <c r="R115" i="6"/>
  <c r="O116" i="6"/>
  <c r="P116" i="6"/>
  <c r="Q116" i="6"/>
  <c r="R116" i="6"/>
  <c r="O117" i="6"/>
  <c r="P117" i="6"/>
  <c r="Q117" i="6"/>
  <c r="R117" i="6"/>
  <c r="O118" i="6"/>
  <c r="P118" i="6"/>
  <c r="Q118" i="6"/>
  <c r="R118" i="6"/>
  <c r="O119" i="6"/>
  <c r="P119" i="6"/>
  <c r="Q119" i="6"/>
  <c r="R119" i="6"/>
  <c r="O120" i="6"/>
  <c r="P120" i="6"/>
  <c r="Q120" i="6"/>
  <c r="R120" i="6"/>
  <c r="O121" i="6"/>
  <c r="Q121" i="6"/>
  <c r="O122" i="6"/>
  <c r="P122" i="6"/>
  <c r="Q122" i="6"/>
  <c r="R122" i="6"/>
  <c r="O123" i="6"/>
  <c r="P123" i="6"/>
  <c r="Q123" i="6"/>
  <c r="R123" i="6"/>
  <c r="O124" i="6"/>
  <c r="P124" i="6"/>
  <c r="Q124" i="6"/>
  <c r="R124" i="6"/>
  <c r="O125" i="6"/>
  <c r="P125" i="6"/>
  <c r="Q125" i="6"/>
  <c r="R125" i="6"/>
  <c r="O126" i="6"/>
  <c r="P126" i="6"/>
  <c r="Q126" i="6"/>
  <c r="R126" i="6"/>
  <c r="O127" i="6"/>
  <c r="P127" i="6"/>
  <c r="Q127" i="6"/>
  <c r="R127" i="6"/>
  <c r="O128" i="6"/>
  <c r="P128" i="6"/>
  <c r="Q128" i="6"/>
  <c r="R1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R83" i="6" s="1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N37" i="6" s="1"/>
  <c r="J38" i="6"/>
  <c r="J39" i="6"/>
  <c r="J40" i="6"/>
  <c r="J41" i="6"/>
  <c r="J42" i="6"/>
  <c r="J43" i="6"/>
  <c r="J44" i="6"/>
  <c r="J45" i="6"/>
  <c r="J46" i="6"/>
  <c r="N46" i="6" s="1"/>
  <c r="S46" i="6" s="1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N60" i="6" s="1"/>
  <c r="S60" i="6" s="1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N84" i="6" s="1"/>
  <c r="S84" i="6" s="1"/>
  <c r="J85" i="6"/>
  <c r="J86" i="6"/>
  <c r="J87" i="6"/>
  <c r="J88" i="6"/>
  <c r="J89" i="6"/>
  <c r="J90" i="6"/>
  <c r="J91" i="6"/>
  <c r="J92" i="6"/>
  <c r="J93" i="6"/>
  <c r="J94" i="6"/>
  <c r="N94" i="6" s="1"/>
  <c r="S94" i="6" s="1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S16" i="9"/>
  <c r="S17" i="9"/>
  <c r="S18" i="9"/>
  <c r="S19" i="9"/>
  <c r="S20" i="9"/>
  <c r="S21" i="9"/>
  <c r="S22" i="9"/>
  <c r="S25" i="9"/>
  <c r="S26" i="9"/>
  <c r="S27" i="9"/>
  <c r="S31" i="9"/>
  <c r="S34" i="9"/>
  <c r="S36" i="9"/>
  <c r="S38" i="9"/>
  <c r="S39" i="9"/>
  <c r="S41" i="9"/>
  <c r="S42" i="9"/>
  <c r="S43" i="9"/>
  <c r="S44" i="9"/>
  <c r="S47" i="9"/>
  <c r="S52" i="9"/>
  <c r="S53" i="9"/>
  <c r="S58" i="9"/>
  <c r="S59" i="9"/>
  <c r="S61" i="9"/>
  <c r="S62" i="9"/>
  <c r="S64" i="9"/>
  <c r="S65" i="9"/>
  <c r="S76" i="9"/>
  <c r="S78" i="9"/>
  <c r="S80" i="9"/>
  <c r="S81" i="9"/>
  <c r="S82" i="9"/>
  <c r="S84" i="9"/>
  <c r="S89" i="9"/>
  <c r="S90" i="9"/>
  <c r="S91" i="9"/>
  <c r="S92" i="9"/>
  <c r="S97" i="9"/>
  <c r="S98" i="9"/>
  <c r="S101" i="9"/>
  <c r="S102" i="9"/>
  <c r="S109" i="9"/>
  <c r="S111" i="9"/>
  <c r="S112" i="9"/>
  <c r="S113" i="9"/>
  <c r="S117" i="9"/>
  <c r="S118" i="9"/>
  <c r="S119" i="9"/>
  <c r="S120" i="9"/>
  <c r="S122" i="9"/>
  <c r="S123" i="9"/>
  <c r="S124" i="9"/>
  <c r="S125" i="9"/>
  <c r="S131" i="9"/>
  <c r="S132" i="9"/>
  <c r="S134" i="9"/>
  <c r="S135" i="9"/>
  <c r="S139" i="9"/>
  <c r="S143" i="9"/>
  <c r="S144" i="9"/>
  <c r="S145" i="9"/>
  <c r="S146" i="9"/>
  <c r="S147" i="9"/>
  <c r="S150" i="9"/>
  <c r="S151" i="9"/>
  <c r="S152" i="9"/>
  <c r="S153" i="9"/>
  <c r="S154" i="9"/>
  <c r="S155" i="9"/>
  <c r="S156" i="9"/>
  <c r="S157" i="9"/>
  <c r="S158" i="9"/>
  <c r="S159" i="9"/>
  <c r="S160" i="9"/>
  <c r="S162" i="9"/>
  <c r="S163" i="9"/>
  <c r="S164" i="9"/>
  <c r="S166" i="9"/>
  <c r="S167" i="9"/>
  <c r="S168" i="9"/>
  <c r="S174" i="9"/>
  <c r="S175" i="9"/>
  <c r="S176" i="9"/>
  <c r="S177" i="9"/>
  <c r="S178" i="9"/>
  <c r="S179" i="9"/>
  <c r="S180" i="9"/>
  <c r="S181" i="9"/>
  <c r="S182" i="9"/>
  <c r="S183" i="9"/>
  <c r="S184" i="9"/>
  <c r="S186" i="9"/>
  <c r="S187" i="9"/>
  <c r="S191" i="9"/>
  <c r="S192" i="9"/>
  <c r="S197" i="9"/>
  <c r="S198" i="9"/>
  <c r="S199" i="9"/>
  <c r="S200" i="9"/>
  <c r="S201" i="9"/>
  <c r="S202" i="9"/>
  <c r="S203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52" i="9"/>
  <c r="S253" i="9"/>
  <c r="S256" i="9"/>
  <c r="S260" i="9"/>
  <c r="S262" i="9"/>
  <c r="S263" i="9"/>
  <c r="S264" i="9"/>
  <c r="S266" i="9"/>
  <c r="S267" i="9"/>
  <c r="S268" i="9"/>
  <c r="S270" i="9"/>
  <c r="S271" i="9"/>
  <c r="S272" i="9"/>
  <c r="S273" i="9"/>
  <c r="S274" i="9"/>
  <c r="S275" i="9"/>
  <c r="S276" i="9"/>
  <c r="S277" i="9"/>
  <c r="S278" i="9"/>
  <c r="S280" i="9"/>
  <c r="S281" i="9"/>
  <c r="S282" i="9"/>
  <c r="S283" i="9"/>
  <c r="S284" i="9"/>
  <c r="S285" i="9"/>
  <c r="S286" i="9"/>
  <c r="S287" i="9"/>
  <c r="S288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30" i="9"/>
  <c r="S336" i="9"/>
  <c r="S337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9" i="9"/>
  <c r="S370" i="9"/>
  <c r="S375" i="9"/>
  <c r="S377" i="9"/>
  <c r="S379" i="9"/>
  <c r="S380" i="9"/>
  <c r="S381" i="9"/>
  <c r="S383" i="9"/>
  <c r="S384" i="9"/>
  <c r="S385" i="9"/>
  <c r="S387" i="9"/>
  <c r="S388" i="9"/>
  <c r="S389" i="9"/>
  <c r="S390" i="9"/>
  <c r="S392" i="9"/>
  <c r="S393" i="9"/>
  <c r="S394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2" i="9"/>
  <c r="S423" i="9"/>
  <c r="S424" i="9"/>
  <c r="S425" i="9"/>
  <c r="S430" i="9"/>
  <c r="S434" i="9"/>
  <c r="S435" i="9"/>
  <c r="S437" i="9"/>
  <c r="S438" i="9"/>
  <c r="S439" i="9"/>
  <c r="S440" i="9"/>
  <c r="S441" i="9"/>
  <c r="S442" i="9"/>
  <c r="S443" i="9"/>
  <c r="S444" i="9"/>
  <c r="S445" i="9"/>
  <c r="S446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3" i="9"/>
  <c r="S484" i="9"/>
  <c r="S485" i="9"/>
  <c r="S486" i="9"/>
  <c r="S494" i="9"/>
  <c r="S495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7" i="9"/>
  <c r="S538" i="9"/>
  <c r="S539" i="9"/>
  <c r="S540" i="9"/>
  <c r="S541" i="9"/>
  <c r="S542" i="9"/>
  <c r="S549" i="9"/>
  <c r="S550" i="9"/>
  <c r="S551" i="9"/>
  <c r="S552" i="9"/>
  <c r="S558" i="9"/>
  <c r="S559" i="9"/>
  <c r="S561" i="9"/>
  <c r="S562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20" i="9"/>
  <c r="S621" i="9"/>
  <c r="S622" i="9"/>
  <c r="S623" i="9"/>
  <c r="S628" i="9"/>
  <c r="S629" i="9"/>
  <c r="S630" i="9"/>
  <c r="S631" i="9"/>
  <c r="S632" i="9"/>
  <c r="S633" i="9"/>
  <c r="S634" i="9"/>
  <c r="S635" i="9"/>
  <c r="S636" i="9"/>
  <c r="S637" i="9"/>
  <c r="S641" i="9"/>
  <c r="S642" i="9"/>
  <c r="S644" i="9"/>
  <c r="S645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2" i="9"/>
  <c r="S703" i="9"/>
  <c r="S704" i="9"/>
  <c r="S705" i="9"/>
  <c r="S706" i="9"/>
  <c r="S707" i="9"/>
  <c r="S714" i="9"/>
  <c r="S715" i="9"/>
  <c r="S716" i="9"/>
  <c r="S717" i="9"/>
  <c r="S718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70" i="9"/>
  <c r="S774" i="9"/>
  <c r="S781" i="9"/>
  <c r="S782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9" i="9"/>
  <c r="S816" i="9"/>
  <c r="S817" i="9"/>
  <c r="S818" i="9"/>
  <c r="S819" i="9"/>
  <c r="S820" i="9"/>
  <c r="S821" i="9"/>
  <c r="S822" i="9"/>
  <c r="S823" i="9"/>
  <c r="S824" i="9"/>
  <c r="S826" i="9"/>
  <c r="O29" i="9"/>
  <c r="P29" i="9" s="1"/>
  <c r="Q29" i="9"/>
  <c r="R29" i="9" s="1"/>
  <c r="O30" i="9"/>
  <c r="P30" i="9" s="1"/>
  <c r="Q30" i="9"/>
  <c r="R30" i="9" s="1"/>
  <c r="O31" i="9"/>
  <c r="P31" i="9"/>
  <c r="Q31" i="9"/>
  <c r="R31" i="9"/>
  <c r="O32" i="9"/>
  <c r="Q32" i="9"/>
  <c r="R32" i="9" s="1"/>
  <c r="O33" i="9"/>
  <c r="Q33" i="9"/>
  <c r="R33" i="9"/>
  <c r="O34" i="9"/>
  <c r="P34" i="9"/>
  <c r="Q34" i="9"/>
  <c r="R34" i="9"/>
  <c r="O35" i="9"/>
  <c r="P35" i="9"/>
  <c r="Q35" i="9"/>
  <c r="R35" i="9"/>
  <c r="O36" i="9"/>
  <c r="P36" i="9"/>
  <c r="Q36" i="9"/>
  <c r="R36" i="9"/>
  <c r="O37" i="9"/>
  <c r="Q37" i="9"/>
  <c r="R37" i="9" s="1"/>
  <c r="O38" i="9"/>
  <c r="P38" i="9"/>
  <c r="Q38" i="9"/>
  <c r="R38" i="9"/>
  <c r="O39" i="9"/>
  <c r="P39" i="9"/>
  <c r="Q39" i="9"/>
  <c r="R39" i="9"/>
  <c r="O40" i="9"/>
  <c r="Q40" i="9"/>
  <c r="R40" i="9"/>
  <c r="O41" i="9"/>
  <c r="P41" i="9"/>
  <c r="Q41" i="9"/>
  <c r="R41" i="9"/>
  <c r="O42" i="9"/>
  <c r="P42" i="9"/>
  <c r="Q42" i="9"/>
  <c r="R42" i="9"/>
  <c r="O43" i="9"/>
  <c r="P43" i="9"/>
  <c r="Q43" i="9"/>
  <c r="R43" i="9"/>
  <c r="O44" i="9"/>
  <c r="P44" i="9"/>
  <c r="Q44" i="9"/>
  <c r="R44" i="9"/>
  <c r="O45" i="9"/>
  <c r="Q45" i="9"/>
  <c r="R45" i="9"/>
  <c r="O46" i="9"/>
  <c r="P46" i="9" s="1"/>
  <c r="Q46" i="9"/>
  <c r="R46" i="9"/>
  <c r="O47" i="9"/>
  <c r="Q47" i="9"/>
  <c r="O48" i="9"/>
  <c r="Q48" i="9"/>
  <c r="O49" i="9"/>
  <c r="P49" i="9" s="1"/>
  <c r="Q49" i="9"/>
  <c r="R49" i="9"/>
  <c r="O50" i="9"/>
  <c r="P50" i="9"/>
  <c r="Q50" i="9"/>
  <c r="R50" i="9" s="1"/>
  <c r="O51" i="9"/>
  <c r="Q51" i="9"/>
  <c r="R51" i="9" s="1"/>
  <c r="O52" i="9"/>
  <c r="P52" i="9"/>
  <c r="Q52" i="9"/>
  <c r="R52" i="9"/>
  <c r="O53" i="9"/>
  <c r="P53" i="9"/>
  <c r="Q53" i="9"/>
  <c r="R53" i="9"/>
  <c r="O54" i="9"/>
  <c r="Q54" i="9"/>
  <c r="R54" i="9"/>
  <c r="O55" i="9"/>
  <c r="Q55" i="9"/>
  <c r="R55" i="9"/>
  <c r="O56" i="9"/>
  <c r="Q56" i="9"/>
  <c r="R56" i="9"/>
  <c r="O57" i="9"/>
  <c r="P57" i="9" s="1"/>
  <c r="Q57" i="9"/>
  <c r="R57" i="9"/>
  <c r="O58" i="9"/>
  <c r="P58" i="9"/>
  <c r="Q58" i="9"/>
  <c r="R58" i="9"/>
  <c r="O59" i="9"/>
  <c r="P59" i="9"/>
  <c r="Q59" i="9"/>
  <c r="R59" i="9"/>
  <c r="O60" i="9"/>
  <c r="Q60" i="9"/>
  <c r="R60" i="9" s="1"/>
  <c r="O61" i="9"/>
  <c r="P61" i="9"/>
  <c r="Q61" i="9"/>
  <c r="R61" i="9"/>
  <c r="O62" i="9"/>
  <c r="P62" i="9"/>
  <c r="Q62" i="9"/>
  <c r="R62" i="9"/>
  <c r="O63" i="9"/>
  <c r="Q63" i="9"/>
  <c r="R63" i="9"/>
  <c r="O64" i="9"/>
  <c r="P64" i="9"/>
  <c r="Q64" i="9"/>
  <c r="R64" i="9"/>
  <c r="O65" i="9"/>
  <c r="P65" i="9"/>
  <c r="Q65" i="9"/>
  <c r="R65" i="9"/>
  <c r="O66" i="9"/>
  <c r="P66" i="9"/>
  <c r="Q66" i="9"/>
  <c r="R66" i="9"/>
  <c r="O67" i="9"/>
  <c r="Q67" i="9"/>
  <c r="R67" i="9"/>
  <c r="O68" i="9"/>
  <c r="Q68" i="9"/>
  <c r="O69" i="9"/>
  <c r="Q69" i="9"/>
  <c r="R69" i="9"/>
  <c r="O70" i="9"/>
  <c r="P70" i="9" s="1"/>
  <c r="Q70" i="9"/>
  <c r="R70" i="9" s="1"/>
  <c r="O71" i="9"/>
  <c r="P71" i="9"/>
  <c r="Q71" i="9"/>
  <c r="R71" i="9"/>
  <c r="O72" i="9"/>
  <c r="P72" i="9" s="1"/>
  <c r="Q72" i="9"/>
  <c r="R72" i="9"/>
  <c r="O73" i="9"/>
  <c r="Q73" i="9"/>
  <c r="R73" i="9"/>
  <c r="O74" i="9"/>
  <c r="Q74" i="9"/>
  <c r="R74" i="9"/>
  <c r="O75" i="9"/>
  <c r="Q75" i="9"/>
  <c r="R75" i="9"/>
  <c r="O76" i="9"/>
  <c r="P76" i="9"/>
  <c r="Q76" i="9"/>
  <c r="R76" i="9"/>
  <c r="O77" i="9"/>
  <c r="P77" i="9"/>
  <c r="Q77" i="9"/>
  <c r="R77" i="9"/>
  <c r="O78" i="9"/>
  <c r="P78" i="9"/>
  <c r="Q78" i="9"/>
  <c r="R78" i="9"/>
  <c r="O79" i="9"/>
  <c r="P79" i="9" s="1"/>
  <c r="Q79" i="9"/>
  <c r="R79" i="9"/>
  <c r="O80" i="9"/>
  <c r="P80" i="9"/>
  <c r="Q80" i="9"/>
  <c r="R80" i="9"/>
  <c r="O81" i="9"/>
  <c r="P81" i="9"/>
  <c r="Q81" i="9"/>
  <c r="R81" i="9"/>
  <c r="O82" i="9"/>
  <c r="P82" i="9"/>
  <c r="Q82" i="9"/>
  <c r="R82" i="9"/>
  <c r="O83" i="9"/>
  <c r="Q83" i="9"/>
  <c r="O84" i="9"/>
  <c r="P84" i="9"/>
  <c r="Q84" i="9"/>
  <c r="R84" i="9" s="1"/>
  <c r="O85" i="9"/>
  <c r="P85" i="9" s="1"/>
  <c r="Q85" i="9"/>
  <c r="R85" i="9" s="1"/>
  <c r="O86" i="9"/>
  <c r="P86" i="9" s="1"/>
  <c r="Q86" i="9"/>
  <c r="R86" i="9"/>
  <c r="O87" i="9"/>
  <c r="Q87" i="9"/>
  <c r="R87" i="9" s="1"/>
  <c r="O88" i="9"/>
  <c r="P88" i="9" s="1"/>
  <c r="Q88" i="9"/>
  <c r="R88" i="9"/>
  <c r="O89" i="9"/>
  <c r="Q89" i="9"/>
  <c r="O90" i="9"/>
  <c r="P90" i="9"/>
  <c r="Q90" i="9"/>
  <c r="R90" i="9"/>
  <c r="O91" i="9"/>
  <c r="P91" i="9"/>
  <c r="Q91" i="9"/>
  <c r="R91" i="9"/>
  <c r="O92" i="9"/>
  <c r="P92" i="9"/>
  <c r="Q92" i="9"/>
  <c r="R92" i="9"/>
  <c r="O93" i="9"/>
  <c r="P93" i="9" s="1"/>
  <c r="Q93" i="9"/>
  <c r="R93" i="9"/>
  <c r="O94" i="9"/>
  <c r="Q94" i="9"/>
  <c r="R94" i="9"/>
  <c r="O95" i="9"/>
  <c r="P95" i="9" s="1"/>
  <c r="Q95" i="9"/>
  <c r="R95" i="9"/>
  <c r="O96" i="9"/>
  <c r="Q96" i="9"/>
  <c r="R96" i="9"/>
  <c r="O97" i="9"/>
  <c r="P97" i="9"/>
  <c r="Q97" i="9"/>
  <c r="R97" i="9"/>
  <c r="O98" i="9"/>
  <c r="P98" i="9"/>
  <c r="Q98" i="9"/>
  <c r="R98" i="9"/>
  <c r="O99" i="9"/>
  <c r="P99" i="9"/>
  <c r="Q99" i="9"/>
  <c r="R99" i="9"/>
  <c r="O100" i="9"/>
  <c r="Q100" i="9"/>
  <c r="O101" i="9"/>
  <c r="P101" i="9"/>
  <c r="Q101" i="9"/>
  <c r="R101" i="9"/>
  <c r="O102" i="9"/>
  <c r="P102" i="9"/>
  <c r="Q102" i="9"/>
  <c r="R102" i="9"/>
  <c r="O103" i="9"/>
  <c r="Q103" i="9"/>
  <c r="R103" i="9"/>
  <c r="O104" i="9"/>
  <c r="Q104" i="9"/>
  <c r="R104" i="9"/>
  <c r="O105" i="9"/>
  <c r="P105" i="9" s="1"/>
  <c r="Q105" i="9"/>
  <c r="R105" i="9"/>
  <c r="O106" i="9"/>
  <c r="P106" i="9"/>
  <c r="Q106" i="9"/>
  <c r="R106" i="9"/>
  <c r="O107" i="9"/>
  <c r="P107" i="9" s="1"/>
  <c r="Q107" i="9"/>
  <c r="O108" i="9"/>
  <c r="Q108" i="9"/>
  <c r="R108" i="9" s="1"/>
  <c r="O109" i="9"/>
  <c r="P109" i="9" s="1"/>
  <c r="Q109" i="9"/>
  <c r="R109" i="9" s="1"/>
  <c r="O110" i="9"/>
  <c r="Q110" i="9"/>
  <c r="O111" i="9"/>
  <c r="P111" i="9"/>
  <c r="Q111" i="9"/>
  <c r="R111" i="9"/>
  <c r="O112" i="9"/>
  <c r="P112" i="9"/>
  <c r="Q112" i="9"/>
  <c r="R112" i="9"/>
  <c r="O113" i="9"/>
  <c r="P113" i="9"/>
  <c r="Q113" i="9"/>
  <c r="R113" i="9"/>
  <c r="O114" i="9"/>
  <c r="P114" i="9" s="1"/>
  <c r="Q114" i="9"/>
  <c r="O115" i="9"/>
  <c r="Q115" i="9"/>
  <c r="R115" i="9"/>
  <c r="O116" i="9"/>
  <c r="Q116" i="9"/>
  <c r="R116" i="9"/>
  <c r="O117" i="9"/>
  <c r="P117" i="9"/>
  <c r="Q117" i="9"/>
  <c r="R117" i="9"/>
  <c r="O118" i="9"/>
  <c r="P118" i="9"/>
  <c r="Q118" i="9"/>
  <c r="R118" i="9"/>
  <c r="O119" i="9"/>
  <c r="P119" i="9"/>
  <c r="Q119" i="9"/>
  <c r="R119" i="9"/>
  <c r="O120" i="9"/>
  <c r="P120" i="9"/>
  <c r="Q120" i="9"/>
  <c r="R120" i="9"/>
  <c r="O121" i="9"/>
  <c r="P121" i="9" s="1"/>
  <c r="Q121" i="9"/>
  <c r="O122" i="9"/>
  <c r="P122" i="9"/>
  <c r="Q122" i="9"/>
  <c r="R122" i="9"/>
  <c r="O123" i="9"/>
  <c r="P123" i="9"/>
  <c r="Q123" i="9"/>
  <c r="R123" i="9"/>
  <c r="O124" i="9"/>
  <c r="P124" i="9"/>
  <c r="Q124" i="9"/>
  <c r="R124" i="9"/>
  <c r="O125" i="9"/>
  <c r="P125" i="9"/>
  <c r="Q125" i="9"/>
  <c r="R125" i="9"/>
  <c r="O126" i="9"/>
  <c r="P126" i="9" s="1"/>
  <c r="Q126" i="9"/>
  <c r="R126" i="9" s="1"/>
  <c r="O127" i="9"/>
  <c r="P127" i="9" s="1"/>
  <c r="Q127" i="9"/>
  <c r="R127" i="9"/>
  <c r="O128" i="9"/>
  <c r="Q128" i="9"/>
  <c r="N14" i="9"/>
  <c r="S14" i="9" s="1"/>
  <c r="N16" i="9"/>
  <c r="N17" i="9"/>
  <c r="N18" i="9"/>
  <c r="N19" i="9"/>
  <c r="N20" i="9"/>
  <c r="N21" i="9"/>
  <c r="N22" i="9"/>
  <c r="N26" i="9"/>
  <c r="N27" i="9"/>
  <c r="N31" i="9"/>
  <c r="N32" i="9"/>
  <c r="S32" i="9" s="1"/>
  <c r="N34" i="9"/>
  <c r="N36" i="9"/>
  <c r="N37" i="9"/>
  <c r="S37" i="9" s="1"/>
  <c r="N38" i="9"/>
  <c r="N39" i="9"/>
  <c r="N41" i="9"/>
  <c r="N42" i="9"/>
  <c r="N43" i="9"/>
  <c r="N44" i="9"/>
  <c r="N46" i="9"/>
  <c r="S46" i="9" s="1"/>
  <c r="N52" i="9"/>
  <c r="N53" i="9"/>
  <c r="N57" i="9"/>
  <c r="S57" i="9" s="1"/>
  <c r="N58" i="9"/>
  <c r="N59" i="9"/>
  <c r="N61" i="9"/>
  <c r="N62" i="9"/>
  <c r="N64" i="9"/>
  <c r="N65" i="9"/>
  <c r="N74" i="9"/>
  <c r="S74" i="9" s="1"/>
  <c r="N76" i="9"/>
  <c r="N78" i="9"/>
  <c r="N79" i="9"/>
  <c r="S79" i="9" s="1"/>
  <c r="N80" i="9"/>
  <c r="N81" i="9"/>
  <c r="N82" i="9"/>
  <c r="N88" i="9"/>
  <c r="S88" i="9" s="1"/>
  <c r="N90" i="9"/>
  <c r="N91" i="9"/>
  <c r="N92" i="9"/>
  <c r="N93" i="9"/>
  <c r="S93" i="9" s="1"/>
  <c r="N97" i="9"/>
  <c r="N98" i="9"/>
  <c r="N101" i="9"/>
  <c r="N102" i="9"/>
  <c r="N111" i="9"/>
  <c r="N112" i="9"/>
  <c r="N113" i="9"/>
  <c r="N114" i="9"/>
  <c r="S114" i="9" s="1"/>
  <c r="N116" i="9"/>
  <c r="S116" i="9" s="1"/>
  <c r="N117" i="9"/>
  <c r="N118" i="9"/>
  <c r="N119" i="9"/>
  <c r="N120" i="9"/>
  <c r="N122" i="9"/>
  <c r="N123" i="9"/>
  <c r="N124" i="9"/>
  <c r="N125" i="9"/>
  <c r="N127" i="9"/>
  <c r="S127" i="9" s="1"/>
  <c r="N130" i="9"/>
  <c r="S130" i="9" s="1"/>
  <c r="N131" i="9"/>
  <c r="N134" i="9"/>
  <c r="N135" i="9"/>
  <c r="N139" i="9"/>
  <c r="N143" i="9"/>
  <c r="N144" i="9"/>
  <c r="N145" i="9"/>
  <c r="N147" i="9"/>
  <c r="N149" i="9"/>
  <c r="S149" i="9" s="1"/>
  <c r="N150" i="9"/>
  <c r="N151" i="9"/>
  <c r="N152" i="9"/>
  <c r="N153" i="9"/>
  <c r="N154" i="9"/>
  <c r="N155" i="9"/>
  <c r="N156" i="9"/>
  <c r="N157" i="9"/>
  <c r="N158" i="9"/>
  <c r="N159" i="9"/>
  <c r="N160" i="9"/>
  <c r="N162" i="9"/>
  <c r="N163" i="9"/>
  <c r="N164" i="9"/>
  <c r="N166" i="9"/>
  <c r="N167" i="9"/>
  <c r="N168" i="9"/>
  <c r="N172" i="9"/>
  <c r="S172" i="9" s="1"/>
  <c r="N174" i="9"/>
  <c r="N175" i="9"/>
  <c r="N176" i="9"/>
  <c r="N177" i="9"/>
  <c r="N178" i="9"/>
  <c r="N179" i="9"/>
  <c r="N180" i="9"/>
  <c r="N181" i="9"/>
  <c r="N182" i="9"/>
  <c r="N183" i="9"/>
  <c r="N184" i="9"/>
  <c r="N186" i="9"/>
  <c r="N187" i="9"/>
  <c r="N191" i="9"/>
  <c r="N192" i="9"/>
  <c r="N197" i="9"/>
  <c r="N198" i="9"/>
  <c r="N199" i="9"/>
  <c r="N200" i="9"/>
  <c r="N201" i="9"/>
  <c r="N202" i="9"/>
  <c r="N203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S247" i="9" s="1"/>
  <c r="N252" i="9"/>
  <c r="N253" i="9"/>
  <c r="N256" i="9"/>
  <c r="N260" i="9"/>
  <c r="N262" i="9"/>
  <c r="N263" i="9"/>
  <c r="N264" i="9"/>
  <c r="N266" i="9"/>
  <c r="N267" i="9"/>
  <c r="N268" i="9"/>
  <c r="N270" i="9"/>
  <c r="N271" i="9"/>
  <c r="N272" i="9"/>
  <c r="N273" i="9"/>
  <c r="N274" i="9"/>
  <c r="N275" i="9"/>
  <c r="N276" i="9"/>
  <c r="N277" i="9"/>
  <c r="N278" i="9"/>
  <c r="N280" i="9"/>
  <c r="N281" i="9"/>
  <c r="N282" i="9"/>
  <c r="N283" i="9"/>
  <c r="N284" i="9"/>
  <c r="N285" i="9"/>
  <c r="N286" i="9"/>
  <c r="N287" i="9"/>
  <c r="N288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30" i="9"/>
  <c r="N336" i="9"/>
  <c r="N337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S368" i="9" s="1"/>
  <c r="N370" i="9"/>
  <c r="N373" i="9"/>
  <c r="S373" i="9" s="1"/>
  <c r="N375" i="9"/>
  <c r="N377" i="9"/>
  <c r="N379" i="9"/>
  <c r="N380" i="9"/>
  <c r="N381" i="9"/>
  <c r="N382" i="9"/>
  <c r="S382" i="9" s="1"/>
  <c r="N383" i="9"/>
  <c r="N384" i="9"/>
  <c r="N385" i="9"/>
  <c r="N387" i="9"/>
  <c r="N388" i="9"/>
  <c r="N389" i="9"/>
  <c r="N390" i="9"/>
  <c r="N392" i="9"/>
  <c r="N393" i="9"/>
  <c r="N394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8" i="9"/>
  <c r="N419" i="9"/>
  <c r="N422" i="9"/>
  <c r="N423" i="9"/>
  <c r="N424" i="9"/>
  <c r="N425" i="9"/>
  <c r="N430" i="9"/>
  <c r="N434" i="9"/>
  <c r="N435" i="9"/>
  <c r="N437" i="9"/>
  <c r="N438" i="9"/>
  <c r="N439" i="9"/>
  <c r="N440" i="9"/>
  <c r="N441" i="9"/>
  <c r="N442" i="9"/>
  <c r="N443" i="9"/>
  <c r="N444" i="9"/>
  <c r="N445" i="9"/>
  <c r="N446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3" i="9"/>
  <c r="N484" i="9"/>
  <c r="N485" i="9"/>
  <c r="N486" i="9"/>
  <c r="N494" i="9"/>
  <c r="N495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7" i="9"/>
  <c r="N538" i="9"/>
  <c r="N539" i="9"/>
  <c r="N540" i="9"/>
  <c r="N541" i="9"/>
  <c r="N542" i="9"/>
  <c r="N547" i="9"/>
  <c r="S547" i="9" s="1"/>
  <c r="N548" i="9"/>
  <c r="S548" i="9" s="1"/>
  <c r="N549" i="9"/>
  <c r="N550" i="9"/>
  <c r="N551" i="9"/>
  <c r="N558" i="9"/>
  <c r="N559" i="9"/>
  <c r="N561" i="9"/>
  <c r="N562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20" i="9"/>
  <c r="N621" i="9"/>
  <c r="N622" i="9"/>
  <c r="N623" i="9"/>
  <c r="N625" i="9"/>
  <c r="S625" i="9" s="1"/>
  <c r="N628" i="9"/>
  <c r="N629" i="9"/>
  <c r="N630" i="9"/>
  <c r="N631" i="9"/>
  <c r="N632" i="9"/>
  <c r="N633" i="9"/>
  <c r="N634" i="9"/>
  <c r="N635" i="9"/>
  <c r="N636" i="9"/>
  <c r="N637" i="9"/>
  <c r="N639" i="9"/>
  <c r="S639" i="9" s="1"/>
  <c r="N641" i="9"/>
  <c r="N642" i="9"/>
  <c r="N644" i="9"/>
  <c r="N645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2" i="9"/>
  <c r="N703" i="9"/>
  <c r="N704" i="9"/>
  <c r="N705" i="9"/>
  <c r="N706" i="9"/>
  <c r="N707" i="9"/>
  <c r="N714" i="9"/>
  <c r="N715" i="9"/>
  <c r="N716" i="9"/>
  <c r="N717" i="9"/>
  <c r="N718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5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70" i="9"/>
  <c r="N774" i="9"/>
  <c r="N779" i="9"/>
  <c r="S779" i="9" s="1"/>
  <c r="N781" i="9"/>
  <c r="N782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S807" i="9" s="1"/>
  <c r="N808" i="9"/>
  <c r="S808" i="9" s="1"/>
  <c r="N809" i="9"/>
  <c r="N816" i="9"/>
  <c r="N817" i="9"/>
  <c r="N819" i="9"/>
  <c r="N820" i="9"/>
  <c r="N821" i="9"/>
  <c r="N822" i="9"/>
  <c r="N823" i="9"/>
  <c r="N824" i="9"/>
  <c r="N826" i="9"/>
  <c r="M11" i="9"/>
  <c r="N11" i="9" s="1"/>
  <c r="S11" i="9" s="1"/>
  <c r="M12" i="9"/>
  <c r="N12" i="9" s="1"/>
  <c r="S12" i="9" s="1"/>
  <c r="M13" i="9"/>
  <c r="N13" i="9" s="1"/>
  <c r="S13" i="9" s="1"/>
  <c r="M14" i="9"/>
  <c r="M15" i="9"/>
  <c r="M16" i="9"/>
  <c r="M17" i="9"/>
  <c r="M18" i="9"/>
  <c r="M19" i="9"/>
  <c r="M20" i="9"/>
  <c r="M21" i="9"/>
  <c r="M22" i="9"/>
  <c r="M23" i="9"/>
  <c r="M24" i="9"/>
  <c r="N24" i="9" s="1"/>
  <c r="S24" i="9" s="1"/>
  <c r="M25" i="9"/>
  <c r="N25" i="9" s="1"/>
  <c r="M26" i="9"/>
  <c r="M27" i="9"/>
  <c r="M28" i="9"/>
  <c r="M29" i="9"/>
  <c r="M30" i="9"/>
  <c r="M31" i="9"/>
  <c r="M32" i="9"/>
  <c r="M33" i="9"/>
  <c r="N33" i="9" s="1"/>
  <c r="S33" i="9" s="1"/>
  <c r="M34" i="9"/>
  <c r="M35" i="9"/>
  <c r="M36" i="9"/>
  <c r="M37" i="9"/>
  <c r="M38" i="9"/>
  <c r="M39" i="9"/>
  <c r="M40" i="9"/>
  <c r="N40" i="9" s="1"/>
  <c r="S40" i="9" s="1"/>
  <c r="M41" i="9"/>
  <c r="M42" i="9"/>
  <c r="M43" i="9"/>
  <c r="M44" i="9"/>
  <c r="M45" i="9"/>
  <c r="M46" i="9"/>
  <c r="M47" i="9"/>
  <c r="N47" i="9" s="1"/>
  <c r="M48" i="9"/>
  <c r="N48" i="9" s="1"/>
  <c r="S48" i="9" s="1"/>
  <c r="M49" i="9"/>
  <c r="M50" i="9"/>
  <c r="N50" i="9" s="1"/>
  <c r="S50" i="9" s="1"/>
  <c r="M51" i="9"/>
  <c r="M52" i="9"/>
  <c r="M53" i="9"/>
  <c r="M54" i="9"/>
  <c r="N54" i="9" s="1"/>
  <c r="S54" i="9" s="1"/>
  <c r="M55" i="9"/>
  <c r="N55" i="9" s="1"/>
  <c r="S55" i="9" s="1"/>
  <c r="M56" i="9"/>
  <c r="M57" i="9"/>
  <c r="M58" i="9"/>
  <c r="M59" i="9"/>
  <c r="M60" i="9"/>
  <c r="M61" i="9"/>
  <c r="M62" i="9"/>
  <c r="M63" i="9"/>
  <c r="M64" i="9"/>
  <c r="M65" i="9"/>
  <c r="M66" i="9"/>
  <c r="N66" i="9" s="1"/>
  <c r="S66" i="9" s="1"/>
  <c r="M67" i="9"/>
  <c r="N67" i="9" s="1"/>
  <c r="S67" i="9" s="1"/>
  <c r="M68" i="9"/>
  <c r="N68" i="9" s="1"/>
  <c r="S68" i="9" s="1"/>
  <c r="M69" i="9"/>
  <c r="N69" i="9" s="1"/>
  <c r="S69" i="9" s="1"/>
  <c r="M70" i="9"/>
  <c r="M71" i="9"/>
  <c r="M72" i="9"/>
  <c r="M73" i="9"/>
  <c r="M74" i="9"/>
  <c r="M75" i="9"/>
  <c r="N75" i="9" s="1"/>
  <c r="S75" i="9" s="1"/>
  <c r="M76" i="9"/>
  <c r="M77" i="9"/>
  <c r="M78" i="9"/>
  <c r="M79" i="9"/>
  <c r="M80" i="9"/>
  <c r="M81" i="9"/>
  <c r="M82" i="9"/>
  <c r="M83" i="9"/>
  <c r="N83" i="9" s="1"/>
  <c r="S83" i="9" s="1"/>
  <c r="M84" i="9"/>
  <c r="M85" i="9"/>
  <c r="M86" i="9"/>
  <c r="M87" i="9"/>
  <c r="M88" i="9"/>
  <c r="M89" i="9"/>
  <c r="N89" i="9" s="1"/>
  <c r="M90" i="9"/>
  <c r="M91" i="9"/>
  <c r="M92" i="9"/>
  <c r="M93" i="9"/>
  <c r="M94" i="9"/>
  <c r="N94" i="9" s="1"/>
  <c r="S94" i="9" s="1"/>
  <c r="M95" i="9"/>
  <c r="N95" i="9" s="1"/>
  <c r="S95" i="9" s="1"/>
  <c r="M96" i="9"/>
  <c r="N96" i="9" s="1"/>
  <c r="S96" i="9" s="1"/>
  <c r="M97" i="9"/>
  <c r="M98" i="9"/>
  <c r="M99" i="9"/>
  <c r="M100" i="9"/>
  <c r="M101" i="9"/>
  <c r="M102" i="9"/>
  <c r="M103" i="9"/>
  <c r="N103" i="9" s="1"/>
  <c r="S103" i="9" s="1"/>
  <c r="M104" i="9"/>
  <c r="N104" i="9" s="1"/>
  <c r="S104" i="9" s="1"/>
  <c r="M105" i="9"/>
  <c r="M106" i="9"/>
  <c r="N106" i="9" s="1"/>
  <c r="S106" i="9" s="1"/>
  <c r="M107" i="9"/>
  <c r="M108" i="9"/>
  <c r="N108" i="9" s="1"/>
  <c r="S108" i="9" s="1"/>
  <c r="M109" i="9"/>
  <c r="N109" i="9" s="1"/>
  <c r="M110" i="9"/>
  <c r="N110" i="9" s="1"/>
  <c r="S110" i="9" s="1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N132" i="9" s="1"/>
  <c r="M133" i="9"/>
  <c r="M134" i="9"/>
  <c r="M135" i="9"/>
  <c r="M136" i="9"/>
  <c r="N136" i="9" s="1"/>
  <c r="S136" i="9" s="1"/>
  <c r="M137" i="9"/>
  <c r="N137" i="9" s="1"/>
  <c r="S137" i="9" s="1"/>
  <c r="M138" i="9"/>
  <c r="N138" i="9" s="1"/>
  <c r="S138" i="9" s="1"/>
  <c r="M139" i="9"/>
  <c r="M140" i="9"/>
  <c r="M141" i="9"/>
  <c r="M142" i="9"/>
  <c r="M143" i="9"/>
  <c r="M144" i="9"/>
  <c r="M145" i="9"/>
  <c r="M146" i="9"/>
  <c r="N146" i="9" s="1"/>
  <c r="M147" i="9"/>
  <c r="M148" i="9"/>
  <c r="N148" i="9" s="1"/>
  <c r="S148" i="9" s="1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N165" i="9" s="1"/>
  <c r="S165" i="9" s="1"/>
  <c r="M166" i="9"/>
  <c r="M167" i="9"/>
  <c r="M168" i="9"/>
  <c r="M169" i="9"/>
  <c r="M170" i="9"/>
  <c r="M171" i="9"/>
  <c r="M172" i="9"/>
  <c r="M173" i="9"/>
  <c r="N173" i="9" s="1"/>
  <c r="S173" i="9" s="1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N188" i="9" s="1"/>
  <c r="S188" i="9" s="1"/>
  <c r="M189" i="9"/>
  <c r="M190" i="9"/>
  <c r="N190" i="9" s="1"/>
  <c r="S190" i="9" s="1"/>
  <c r="M191" i="9"/>
  <c r="M192" i="9"/>
  <c r="M193" i="9"/>
  <c r="N193" i="9" s="1"/>
  <c r="S193" i="9" s="1"/>
  <c r="M194" i="9"/>
  <c r="N194" i="9" s="1"/>
  <c r="S194" i="9" s="1"/>
  <c r="M195" i="9"/>
  <c r="N195" i="9" s="1"/>
  <c r="S195" i="9" s="1"/>
  <c r="M196" i="9"/>
  <c r="M197" i="9"/>
  <c r="M198" i="9"/>
  <c r="M199" i="9"/>
  <c r="M200" i="9"/>
  <c r="M201" i="9"/>
  <c r="M202" i="9"/>
  <c r="M203" i="9"/>
  <c r="M204" i="9"/>
  <c r="N204" i="9" s="1"/>
  <c r="S204" i="9" s="1"/>
  <c r="M205" i="9"/>
  <c r="M206" i="9"/>
  <c r="N206" i="9" s="1"/>
  <c r="S206" i="9" s="1"/>
  <c r="M207" i="9"/>
  <c r="N207" i="9" s="1"/>
  <c r="S207" i="9" s="1"/>
  <c r="M208" i="9"/>
  <c r="N208" i="9" s="1"/>
  <c r="S208" i="9" s="1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N248" i="9" s="1"/>
  <c r="S248" i="9" s="1"/>
  <c r="M249" i="9"/>
  <c r="N249" i="9" s="1"/>
  <c r="S249" i="9" s="1"/>
  <c r="M250" i="9"/>
  <c r="N250" i="9" s="1"/>
  <c r="S250" i="9" s="1"/>
  <c r="M251" i="9"/>
  <c r="N251" i="9" s="1"/>
  <c r="S251" i="9" s="1"/>
  <c r="M252" i="9"/>
  <c r="M253" i="9"/>
  <c r="M254" i="9"/>
  <c r="M255" i="9"/>
  <c r="M256" i="9"/>
  <c r="M257" i="9"/>
  <c r="N257" i="9" s="1"/>
  <c r="S257" i="9" s="1"/>
  <c r="M258" i="9"/>
  <c r="N258" i="9" s="1"/>
  <c r="S258" i="9" s="1"/>
  <c r="M259" i="9"/>
  <c r="M260" i="9"/>
  <c r="M261" i="9"/>
  <c r="M262" i="9"/>
  <c r="M263" i="9"/>
  <c r="M264" i="9"/>
  <c r="M265" i="9"/>
  <c r="N265" i="9" s="1"/>
  <c r="S265" i="9" s="1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N279" i="9" s="1"/>
  <c r="S279" i="9" s="1"/>
  <c r="M280" i="9"/>
  <c r="M281" i="9"/>
  <c r="M282" i="9"/>
  <c r="M283" i="9"/>
  <c r="M284" i="9"/>
  <c r="M285" i="9"/>
  <c r="M286" i="9"/>
  <c r="M287" i="9"/>
  <c r="M288" i="9"/>
  <c r="M289" i="9"/>
  <c r="M290" i="9"/>
  <c r="N290" i="9" s="1"/>
  <c r="S290" i="9" s="1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N305" i="9" s="1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N328" i="9" s="1"/>
  <c r="S328" i="9" s="1"/>
  <c r="M329" i="9"/>
  <c r="M330" i="9"/>
  <c r="M331" i="9"/>
  <c r="M332" i="9"/>
  <c r="N332" i="9" s="1"/>
  <c r="S332" i="9" s="1"/>
  <c r="M333" i="9"/>
  <c r="N333" i="9" s="1"/>
  <c r="S333" i="9" s="1"/>
  <c r="M334" i="9"/>
  <c r="N334" i="9" s="1"/>
  <c r="S334" i="9" s="1"/>
  <c r="M335" i="9"/>
  <c r="N335" i="9" s="1"/>
  <c r="S335" i="9" s="1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N369" i="9" s="1"/>
  <c r="M370" i="9"/>
  <c r="M371" i="9"/>
  <c r="M372" i="9"/>
  <c r="N372" i="9" s="1"/>
  <c r="S372" i="9" s="1"/>
  <c r="M373" i="9"/>
  <c r="M374" i="9"/>
  <c r="N374" i="9" s="1"/>
  <c r="S374" i="9" s="1"/>
  <c r="M375" i="9"/>
  <c r="M376" i="9"/>
  <c r="N376" i="9" s="1"/>
  <c r="S376" i="9" s="1"/>
  <c r="M377" i="9"/>
  <c r="M378" i="9"/>
  <c r="M379" i="9"/>
  <c r="M380" i="9"/>
  <c r="M381" i="9"/>
  <c r="M382" i="9"/>
  <c r="M383" i="9"/>
  <c r="M384" i="9"/>
  <c r="M385" i="9"/>
  <c r="M386" i="9"/>
  <c r="N386" i="9" s="1"/>
  <c r="S386" i="9" s="1"/>
  <c r="M387" i="9"/>
  <c r="M388" i="9"/>
  <c r="M389" i="9"/>
  <c r="M390" i="9"/>
  <c r="M391" i="9"/>
  <c r="N391" i="9" s="1"/>
  <c r="S391" i="9" s="1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N417" i="9" s="1"/>
  <c r="M418" i="9"/>
  <c r="M419" i="9"/>
  <c r="M420" i="9"/>
  <c r="M421" i="9"/>
  <c r="M422" i="9"/>
  <c r="M423" i="9"/>
  <c r="M424" i="9"/>
  <c r="M425" i="9"/>
  <c r="M426" i="9"/>
  <c r="N426" i="9" s="1"/>
  <c r="S426" i="9" s="1"/>
  <c r="M427" i="9"/>
  <c r="M428" i="9"/>
  <c r="N428" i="9" s="1"/>
  <c r="S428" i="9" s="1"/>
  <c r="M429" i="9"/>
  <c r="M430" i="9"/>
  <c r="M431" i="9"/>
  <c r="N431" i="9" s="1"/>
  <c r="S431" i="9" s="1"/>
  <c r="M432" i="9"/>
  <c r="N432" i="9" s="1"/>
  <c r="S432" i="9" s="1"/>
  <c r="M433" i="9"/>
  <c r="N433" i="9" s="1"/>
  <c r="S433" i="9" s="1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N447" i="9" s="1"/>
  <c r="S447" i="9" s="1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N481" i="9" s="1"/>
  <c r="S481" i="9" s="1"/>
  <c r="M482" i="9"/>
  <c r="N482" i="9" s="1"/>
  <c r="S482" i="9" s="1"/>
  <c r="M483" i="9"/>
  <c r="M484" i="9"/>
  <c r="M485" i="9"/>
  <c r="M486" i="9"/>
  <c r="M487" i="9"/>
  <c r="N487" i="9" s="1"/>
  <c r="S487" i="9" s="1"/>
  <c r="M488" i="9"/>
  <c r="N488" i="9" s="1"/>
  <c r="S488" i="9" s="1"/>
  <c r="M489" i="9"/>
  <c r="N489" i="9" s="1"/>
  <c r="S489" i="9" s="1"/>
  <c r="M490" i="9"/>
  <c r="M491" i="9"/>
  <c r="M492" i="9"/>
  <c r="M493" i="9"/>
  <c r="M494" i="9"/>
  <c r="M495" i="9"/>
  <c r="M496" i="9"/>
  <c r="N496" i="9" s="1"/>
  <c r="S496" i="9" s="1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N543" i="9" s="1"/>
  <c r="S543" i="9" s="1"/>
  <c r="M544" i="9"/>
  <c r="N544" i="9" s="1"/>
  <c r="S544" i="9" s="1"/>
  <c r="M545" i="9"/>
  <c r="N545" i="9" s="1"/>
  <c r="S545" i="9" s="1"/>
  <c r="M546" i="9"/>
  <c r="M547" i="9"/>
  <c r="M548" i="9"/>
  <c r="M549" i="9"/>
  <c r="M550" i="9"/>
  <c r="M551" i="9"/>
  <c r="M552" i="9"/>
  <c r="N552" i="9" s="1"/>
  <c r="M553" i="9"/>
  <c r="M554" i="9"/>
  <c r="N554" i="9" s="1"/>
  <c r="S554" i="9" s="1"/>
  <c r="M555" i="9"/>
  <c r="M556" i="9"/>
  <c r="N556" i="9" s="1"/>
  <c r="S556" i="9" s="1"/>
  <c r="M557" i="9"/>
  <c r="N557" i="9" s="1"/>
  <c r="S557" i="9" s="1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N615" i="9" s="1"/>
  <c r="S615" i="9" s="1"/>
  <c r="M616" i="9"/>
  <c r="M617" i="9"/>
  <c r="M618" i="9"/>
  <c r="M619" i="9"/>
  <c r="M620" i="9"/>
  <c r="M621" i="9"/>
  <c r="M622" i="9"/>
  <c r="M623" i="9"/>
  <c r="M624" i="9"/>
  <c r="N624" i="9" s="1"/>
  <c r="S624" i="9" s="1"/>
  <c r="M625" i="9"/>
  <c r="M626" i="9"/>
  <c r="N626" i="9" s="1"/>
  <c r="S626" i="9" s="1"/>
  <c r="M627" i="9"/>
  <c r="N627" i="9" s="1"/>
  <c r="S627" i="9" s="1"/>
  <c r="M628" i="9"/>
  <c r="M629" i="9"/>
  <c r="M630" i="9"/>
  <c r="M631" i="9"/>
  <c r="M632" i="9"/>
  <c r="M633" i="9"/>
  <c r="M634" i="9"/>
  <c r="M635" i="9"/>
  <c r="M636" i="9"/>
  <c r="M637" i="9"/>
  <c r="M638" i="9"/>
  <c r="N638" i="9" s="1"/>
  <c r="S638" i="9" s="1"/>
  <c r="M639" i="9"/>
  <c r="M640" i="9"/>
  <c r="N640" i="9" s="1"/>
  <c r="S640" i="9" s="1"/>
  <c r="M641" i="9"/>
  <c r="M642" i="9"/>
  <c r="M643" i="9"/>
  <c r="N643" i="9" s="1"/>
  <c r="S643" i="9" s="1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N708" i="9" s="1"/>
  <c r="S708" i="9" s="1"/>
  <c r="M709" i="9"/>
  <c r="M710" i="9"/>
  <c r="N710" i="9" s="1"/>
  <c r="S710" i="9" s="1"/>
  <c r="M711" i="9"/>
  <c r="N711" i="9" s="1"/>
  <c r="S711" i="9" s="1"/>
  <c r="M712" i="9"/>
  <c r="N712" i="9" s="1"/>
  <c r="S712" i="9" s="1"/>
  <c r="M713" i="9"/>
  <c r="N713" i="9" s="1"/>
  <c r="S713" i="9" s="1"/>
  <c r="M714" i="9"/>
  <c r="M715" i="9"/>
  <c r="M716" i="9"/>
  <c r="M717" i="9"/>
  <c r="M718" i="9"/>
  <c r="M719" i="9"/>
  <c r="N719" i="9" s="1"/>
  <c r="S719" i="9" s="1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N734" i="9" s="1"/>
  <c r="M735" i="9"/>
  <c r="M736" i="9"/>
  <c r="N736" i="9" s="1"/>
  <c r="S736" i="9" s="1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N768" i="9" s="1"/>
  <c r="S768" i="9" s="1"/>
  <c r="M769" i="9"/>
  <c r="N769" i="9" s="1"/>
  <c r="S769" i="9" s="1"/>
  <c r="M770" i="9"/>
  <c r="M771" i="9"/>
  <c r="M772" i="9"/>
  <c r="M773" i="9"/>
  <c r="M774" i="9"/>
  <c r="M775" i="9"/>
  <c r="N775" i="9" s="1"/>
  <c r="S775" i="9" s="1"/>
  <c r="M776" i="9"/>
  <c r="N776" i="9" s="1"/>
  <c r="S776" i="9" s="1"/>
  <c r="M777" i="9"/>
  <c r="M778" i="9"/>
  <c r="N778" i="9" s="1"/>
  <c r="S778" i="9" s="1"/>
  <c r="M779" i="9"/>
  <c r="M780" i="9"/>
  <c r="N780" i="9" s="1"/>
  <c r="S780" i="9" s="1"/>
  <c r="M781" i="9"/>
  <c r="M782" i="9"/>
  <c r="M783" i="9"/>
  <c r="N783" i="9" s="1"/>
  <c r="S783" i="9" s="1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N810" i="9" s="1"/>
  <c r="S810" i="9" s="1"/>
  <c r="M811" i="9"/>
  <c r="N811" i="9" s="1"/>
  <c r="S811" i="9" s="1"/>
  <c r="M812" i="9"/>
  <c r="M813" i="9"/>
  <c r="M814" i="9"/>
  <c r="M815" i="9"/>
  <c r="M816" i="9"/>
  <c r="M817" i="9"/>
  <c r="M818" i="9"/>
  <c r="N818" i="9" s="1"/>
  <c r="M819" i="9"/>
  <c r="M820" i="9"/>
  <c r="M821" i="9"/>
  <c r="M822" i="9"/>
  <c r="M823" i="9"/>
  <c r="M824" i="9"/>
  <c r="M825" i="9"/>
  <c r="N825" i="9" s="1"/>
  <c r="S825" i="9" s="1"/>
  <c r="M826" i="9"/>
  <c r="M10" i="9"/>
  <c r="K29" i="9"/>
  <c r="L29" i="9"/>
  <c r="K30" i="9"/>
  <c r="L30" i="9"/>
  <c r="K31" i="9"/>
  <c r="L31" i="9"/>
  <c r="K32" i="9"/>
  <c r="P32" i="9" s="1"/>
  <c r="L32" i="9"/>
  <c r="K33" i="9"/>
  <c r="P33" i="9" s="1"/>
  <c r="L33" i="9"/>
  <c r="K34" i="9"/>
  <c r="L34" i="9"/>
  <c r="K35" i="9"/>
  <c r="L35" i="9"/>
  <c r="K36" i="9"/>
  <c r="L36" i="9"/>
  <c r="K37" i="9"/>
  <c r="L37" i="9"/>
  <c r="K38" i="9"/>
  <c r="L38" i="9"/>
  <c r="K39" i="9"/>
  <c r="L39" i="9"/>
  <c r="K40" i="9"/>
  <c r="L40" i="9"/>
  <c r="K41" i="9"/>
  <c r="L41" i="9"/>
  <c r="K42" i="9"/>
  <c r="L42" i="9"/>
  <c r="K43" i="9"/>
  <c r="L43" i="9"/>
  <c r="K44" i="9"/>
  <c r="L44" i="9"/>
  <c r="K45" i="9"/>
  <c r="P45" i="9" s="1"/>
  <c r="L45" i="9"/>
  <c r="K46" i="9"/>
  <c r="L46" i="9"/>
  <c r="K47" i="9"/>
  <c r="L47" i="9"/>
  <c r="K48" i="9"/>
  <c r="P48" i="9" s="1"/>
  <c r="L48" i="9"/>
  <c r="K49" i="9"/>
  <c r="L49" i="9"/>
  <c r="K50" i="9"/>
  <c r="L50" i="9"/>
  <c r="K51" i="9"/>
  <c r="L51" i="9"/>
  <c r="K52" i="9"/>
  <c r="L52" i="9"/>
  <c r="K53" i="9"/>
  <c r="L53" i="9"/>
  <c r="K54" i="9"/>
  <c r="P54" i="9" s="1"/>
  <c r="L54" i="9"/>
  <c r="K55" i="9"/>
  <c r="L55" i="9"/>
  <c r="K56" i="9"/>
  <c r="P56" i="9" s="1"/>
  <c r="L56" i="9"/>
  <c r="K57" i="9"/>
  <c r="L57" i="9"/>
  <c r="K58" i="9"/>
  <c r="L58" i="9"/>
  <c r="K59" i="9"/>
  <c r="L59" i="9"/>
  <c r="K60" i="9"/>
  <c r="P60" i="9" s="1"/>
  <c r="L60" i="9"/>
  <c r="K61" i="9"/>
  <c r="L61" i="9"/>
  <c r="K62" i="9"/>
  <c r="L62" i="9"/>
  <c r="K63" i="9"/>
  <c r="P63" i="9" s="1"/>
  <c r="L63" i="9"/>
  <c r="K64" i="9"/>
  <c r="L64" i="9"/>
  <c r="K65" i="9"/>
  <c r="L65" i="9"/>
  <c r="K66" i="9"/>
  <c r="L66" i="9"/>
  <c r="K67" i="9"/>
  <c r="P67" i="9" s="1"/>
  <c r="L67" i="9"/>
  <c r="K68" i="9"/>
  <c r="P68" i="9" s="1"/>
  <c r="L68" i="9"/>
  <c r="K69" i="9"/>
  <c r="P69" i="9" s="1"/>
  <c r="L69" i="9"/>
  <c r="K70" i="9"/>
  <c r="L70" i="9"/>
  <c r="K71" i="9"/>
  <c r="L71" i="9"/>
  <c r="K72" i="9"/>
  <c r="L72" i="9"/>
  <c r="K73" i="9"/>
  <c r="L73" i="9"/>
  <c r="K74" i="9"/>
  <c r="P74" i="9" s="1"/>
  <c r="L74" i="9"/>
  <c r="K75" i="9"/>
  <c r="P75" i="9" s="1"/>
  <c r="L75" i="9"/>
  <c r="K76" i="9"/>
  <c r="L76" i="9"/>
  <c r="K77" i="9"/>
  <c r="L77" i="9"/>
  <c r="K78" i="9"/>
  <c r="L78" i="9"/>
  <c r="K79" i="9"/>
  <c r="L79" i="9"/>
  <c r="K80" i="9"/>
  <c r="L80" i="9"/>
  <c r="K81" i="9"/>
  <c r="L81" i="9"/>
  <c r="K82" i="9"/>
  <c r="L82" i="9"/>
  <c r="K83" i="9"/>
  <c r="L83" i="9"/>
  <c r="R83" i="9" s="1"/>
  <c r="K84" i="9"/>
  <c r="L84" i="9"/>
  <c r="K85" i="9"/>
  <c r="L85" i="9"/>
  <c r="K86" i="9"/>
  <c r="L86" i="9"/>
  <c r="K87" i="9"/>
  <c r="L87" i="9"/>
  <c r="K88" i="9"/>
  <c r="L88" i="9"/>
  <c r="K89" i="9"/>
  <c r="P89" i="9" s="1"/>
  <c r="L89" i="9"/>
  <c r="K90" i="9"/>
  <c r="L90" i="9"/>
  <c r="K91" i="9"/>
  <c r="L91" i="9"/>
  <c r="K92" i="9"/>
  <c r="L92" i="9"/>
  <c r="K93" i="9"/>
  <c r="L93" i="9"/>
  <c r="K94" i="9"/>
  <c r="P94" i="9" s="1"/>
  <c r="L94" i="9"/>
  <c r="K95" i="9"/>
  <c r="L95" i="9"/>
  <c r="K96" i="9"/>
  <c r="P96" i="9" s="1"/>
  <c r="L96" i="9"/>
  <c r="K97" i="9"/>
  <c r="L97" i="9"/>
  <c r="K98" i="9"/>
  <c r="L98" i="9"/>
  <c r="K99" i="9"/>
  <c r="L99" i="9"/>
  <c r="K100" i="9"/>
  <c r="L100" i="9"/>
  <c r="R100" i="9" s="1"/>
  <c r="K101" i="9"/>
  <c r="L101" i="9"/>
  <c r="K102" i="9"/>
  <c r="L102" i="9"/>
  <c r="K103" i="9"/>
  <c r="L103" i="9"/>
  <c r="K104" i="9"/>
  <c r="P104" i="9" s="1"/>
  <c r="L104" i="9"/>
  <c r="K105" i="9"/>
  <c r="L105" i="9"/>
  <c r="K106" i="9"/>
  <c r="L106" i="9"/>
  <c r="K107" i="9"/>
  <c r="L107" i="9"/>
  <c r="R107" i="9" s="1"/>
  <c r="K108" i="9"/>
  <c r="P108" i="9" s="1"/>
  <c r="L108" i="9"/>
  <c r="K109" i="9"/>
  <c r="L109" i="9"/>
  <c r="K110" i="9"/>
  <c r="P110" i="9" s="1"/>
  <c r="L110" i="9"/>
  <c r="K111" i="9"/>
  <c r="L111" i="9"/>
  <c r="K112" i="9"/>
  <c r="L112" i="9"/>
  <c r="K113" i="9"/>
  <c r="L113" i="9"/>
  <c r="K114" i="9"/>
  <c r="L114" i="9"/>
  <c r="R114" i="9" s="1"/>
  <c r="K115" i="9"/>
  <c r="P115" i="9" s="1"/>
  <c r="L115" i="9"/>
  <c r="K116" i="9"/>
  <c r="P116" i="9" s="1"/>
  <c r="L116" i="9"/>
  <c r="K117" i="9"/>
  <c r="L117" i="9"/>
  <c r="K118" i="9"/>
  <c r="L118" i="9"/>
  <c r="K119" i="9"/>
  <c r="L119" i="9"/>
  <c r="K120" i="9"/>
  <c r="L120" i="9"/>
  <c r="K121" i="9"/>
  <c r="L121" i="9"/>
  <c r="K122" i="9"/>
  <c r="L122" i="9"/>
  <c r="K123" i="9"/>
  <c r="L123" i="9"/>
  <c r="K124" i="9"/>
  <c r="L124" i="9"/>
  <c r="K125" i="9"/>
  <c r="L125" i="9"/>
  <c r="K126" i="9"/>
  <c r="L126" i="9"/>
  <c r="K127" i="9"/>
  <c r="L127" i="9"/>
  <c r="K128" i="9"/>
  <c r="L128" i="9"/>
  <c r="R128" i="9" s="1"/>
  <c r="J10" i="9"/>
  <c r="J11" i="9"/>
  <c r="J12" i="9"/>
  <c r="J13" i="9"/>
  <c r="J14" i="9"/>
  <c r="J15" i="9"/>
  <c r="N15" i="9" s="1"/>
  <c r="S15" i="9" s="1"/>
  <c r="J16" i="9"/>
  <c r="J17" i="9"/>
  <c r="J18" i="9"/>
  <c r="J19" i="9"/>
  <c r="J20" i="9"/>
  <c r="J21" i="9"/>
  <c r="J22" i="9"/>
  <c r="J23" i="9"/>
  <c r="N23" i="9" s="1"/>
  <c r="S23" i="9" s="1"/>
  <c r="J24" i="9"/>
  <c r="J25" i="9"/>
  <c r="J26" i="9"/>
  <c r="J27" i="9"/>
  <c r="J28" i="9"/>
  <c r="N28" i="9" s="1"/>
  <c r="S28" i="9" s="1"/>
  <c r="J29" i="9"/>
  <c r="N29" i="9" s="1"/>
  <c r="S29" i="9" s="1"/>
  <c r="J30" i="9"/>
  <c r="N30" i="9" s="1"/>
  <c r="S30" i="9" s="1"/>
  <c r="J31" i="9"/>
  <c r="J32" i="9"/>
  <c r="J33" i="9"/>
  <c r="J34" i="9"/>
  <c r="J35" i="9"/>
  <c r="N35" i="9" s="1"/>
  <c r="S35" i="9" s="1"/>
  <c r="J36" i="9"/>
  <c r="J37" i="9"/>
  <c r="J38" i="9"/>
  <c r="J39" i="9"/>
  <c r="J40" i="9"/>
  <c r="J41" i="9"/>
  <c r="J42" i="9"/>
  <c r="J43" i="9"/>
  <c r="J44" i="9"/>
  <c r="J45" i="9"/>
  <c r="N45" i="9" s="1"/>
  <c r="S45" i="9" s="1"/>
  <c r="J46" i="9"/>
  <c r="J47" i="9"/>
  <c r="J48" i="9"/>
  <c r="J49" i="9"/>
  <c r="N49" i="9" s="1"/>
  <c r="S49" i="9" s="1"/>
  <c r="J50" i="9"/>
  <c r="J51" i="9"/>
  <c r="N51" i="9" s="1"/>
  <c r="S51" i="9" s="1"/>
  <c r="J52" i="9"/>
  <c r="J53" i="9"/>
  <c r="J54" i="9"/>
  <c r="J55" i="9"/>
  <c r="J56" i="9"/>
  <c r="N56" i="9" s="1"/>
  <c r="S56" i="9" s="1"/>
  <c r="J57" i="9"/>
  <c r="J58" i="9"/>
  <c r="J59" i="9"/>
  <c r="J60" i="9"/>
  <c r="N60" i="9" s="1"/>
  <c r="S60" i="9" s="1"/>
  <c r="J61" i="9"/>
  <c r="J62" i="9"/>
  <c r="J63" i="9"/>
  <c r="N63" i="9" s="1"/>
  <c r="S63" i="9" s="1"/>
  <c r="J64" i="9"/>
  <c r="J65" i="9"/>
  <c r="J66" i="9"/>
  <c r="J67" i="9"/>
  <c r="J68" i="9"/>
  <c r="J69" i="9"/>
  <c r="J70" i="9"/>
  <c r="N70" i="9" s="1"/>
  <c r="S70" i="9" s="1"/>
  <c r="J71" i="9"/>
  <c r="N71" i="9" s="1"/>
  <c r="S71" i="9" s="1"/>
  <c r="J72" i="9"/>
  <c r="N72" i="9" s="1"/>
  <c r="S72" i="9" s="1"/>
  <c r="J73" i="9"/>
  <c r="N73" i="9" s="1"/>
  <c r="S73" i="9" s="1"/>
  <c r="J74" i="9"/>
  <c r="J75" i="9"/>
  <c r="J76" i="9"/>
  <c r="J77" i="9"/>
  <c r="N77" i="9" s="1"/>
  <c r="S77" i="9" s="1"/>
  <c r="J78" i="9"/>
  <c r="J79" i="9"/>
  <c r="J80" i="9"/>
  <c r="J81" i="9"/>
  <c r="J82" i="9"/>
  <c r="J83" i="9"/>
  <c r="J84" i="9"/>
  <c r="N84" i="9" s="1"/>
  <c r="J85" i="9"/>
  <c r="N85" i="9" s="1"/>
  <c r="S85" i="9" s="1"/>
  <c r="J86" i="9"/>
  <c r="N86" i="9" s="1"/>
  <c r="S86" i="9" s="1"/>
  <c r="J87" i="9"/>
  <c r="N87" i="9" s="1"/>
  <c r="S87" i="9" s="1"/>
  <c r="J88" i="9"/>
  <c r="J89" i="9"/>
  <c r="J90" i="9"/>
  <c r="J91" i="9"/>
  <c r="J92" i="9"/>
  <c r="J93" i="9"/>
  <c r="J94" i="9"/>
  <c r="J95" i="9"/>
  <c r="J96" i="9"/>
  <c r="J97" i="9"/>
  <c r="J98" i="9"/>
  <c r="J99" i="9"/>
  <c r="N99" i="9" s="1"/>
  <c r="S99" i="9" s="1"/>
  <c r="J100" i="9"/>
  <c r="N100" i="9" s="1"/>
  <c r="S100" i="9" s="1"/>
  <c r="J101" i="9"/>
  <c r="J102" i="9"/>
  <c r="J103" i="9"/>
  <c r="J104" i="9"/>
  <c r="J105" i="9"/>
  <c r="N105" i="9" s="1"/>
  <c r="S105" i="9" s="1"/>
  <c r="J106" i="9"/>
  <c r="J107" i="9"/>
  <c r="N107" i="9" s="1"/>
  <c r="S107" i="9" s="1"/>
  <c r="J108" i="9"/>
  <c r="J109" i="9"/>
  <c r="J110" i="9"/>
  <c r="J111" i="9"/>
  <c r="J112" i="9"/>
  <c r="J113" i="9"/>
  <c r="J114" i="9"/>
  <c r="J115" i="9"/>
  <c r="N115" i="9" s="1"/>
  <c r="S115" i="9" s="1"/>
  <c r="J116" i="9"/>
  <c r="J117" i="9"/>
  <c r="J118" i="9"/>
  <c r="J119" i="9"/>
  <c r="J120" i="9"/>
  <c r="J121" i="9"/>
  <c r="N121" i="9" s="1"/>
  <c r="S121" i="9" s="1"/>
  <c r="J122" i="9"/>
  <c r="J123" i="9"/>
  <c r="J124" i="9"/>
  <c r="J125" i="9"/>
  <c r="J126" i="9"/>
  <c r="N126" i="9" s="1"/>
  <c r="S126" i="9" s="1"/>
  <c r="J127" i="9"/>
  <c r="J128" i="9"/>
  <c r="N128" i="9" s="1"/>
  <c r="S128" i="9" s="1"/>
  <c r="J129" i="9"/>
  <c r="N129" i="9" s="1"/>
  <c r="S129" i="9" s="1"/>
  <c r="J130" i="9"/>
  <c r="J131" i="9"/>
  <c r="J132" i="9"/>
  <c r="J133" i="9"/>
  <c r="N133" i="9" s="1"/>
  <c r="S133" i="9" s="1"/>
  <c r="J134" i="9"/>
  <c r="J135" i="9"/>
  <c r="J136" i="9"/>
  <c r="J137" i="9"/>
  <c r="J138" i="9"/>
  <c r="J139" i="9"/>
  <c r="J140" i="9"/>
  <c r="N140" i="9" s="1"/>
  <c r="S140" i="9" s="1"/>
  <c r="J141" i="9"/>
  <c r="N141" i="9" s="1"/>
  <c r="S141" i="9" s="1"/>
  <c r="J142" i="9"/>
  <c r="N142" i="9" s="1"/>
  <c r="S142" i="9" s="1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N161" i="9" s="1"/>
  <c r="S161" i="9" s="1"/>
  <c r="J162" i="9"/>
  <c r="J163" i="9"/>
  <c r="J164" i="9"/>
  <c r="J165" i="9"/>
  <c r="J166" i="9"/>
  <c r="J167" i="9"/>
  <c r="J168" i="9"/>
  <c r="J169" i="9"/>
  <c r="N169" i="9" s="1"/>
  <c r="S169" i="9" s="1"/>
  <c r="J170" i="9"/>
  <c r="N170" i="9" s="1"/>
  <c r="S170" i="9" s="1"/>
  <c r="J171" i="9"/>
  <c r="N171" i="9" s="1"/>
  <c r="S171" i="9" s="1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N185" i="9" s="1"/>
  <c r="S185" i="9" s="1"/>
  <c r="J186" i="9"/>
  <c r="J187" i="9"/>
  <c r="J188" i="9"/>
  <c r="J189" i="9"/>
  <c r="N189" i="9" s="1"/>
  <c r="S189" i="9" s="1"/>
  <c r="J190" i="9"/>
  <c r="J191" i="9"/>
  <c r="J192" i="9"/>
  <c r="J193" i="9"/>
  <c r="J194" i="9"/>
  <c r="J195" i="9"/>
  <c r="J196" i="9"/>
  <c r="N196" i="9" s="1"/>
  <c r="S196" i="9" s="1"/>
  <c r="J197" i="9"/>
  <c r="J198" i="9"/>
  <c r="J199" i="9"/>
  <c r="J200" i="9"/>
  <c r="J201" i="9"/>
  <c r="J202" i="9"/>
  <c r="J203" i="9"/>
  <c r="J204" i="9"/>
  <c r="J205" i="9"/>
  <c r="N205" i="9" s="1"/>
  <c r="S205" i="9" s="1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N254" i="9" s="1"/>
  <c r="S254" i="9" s="1"/>
  <c r="J255" i="9"/>
  <c r="N255" i="9" s="1"/>
  <c r="S255" i="9" s="1"/>
  <c r="J256" i="9"/>
  <c r="J257" i="9"/>
  <c r="J258" i="9"/>
  <c r="J259" i="9"/>
  <c r="N259" i="9" s="1"/>
  <c r="S259" i="9" s="1"/>
  <c r="J260" i="9"/>
  <c r="J261" i="9"/>
  <c r="N261" i="9" s="1"/>
  <c r="S261" i="9" s="1"/>
  <c r="J262" i="9"/>
  <c r="J263" i="9"/>
  <c r="J264" i="9"/>
  <c r="J265" i="9"/>
  <c r="J266" i="9"/>
  <c r="J267" i="9"/>
  <c r="J268" i="9"/>
  <c r="J269" i="9"/>
  <c r="N269" i="9" s="1"/>
  <c r="S269" i="9" s="1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N289" i="9" s="1"/>
  <c r="S289" i="9" s="1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N329" i="9" s="1"/>
  <c r="S329" i="9" s="1"/>
  <c r="J330" i="9"/>
  <c r="J331" i="9"/>
  <c r="N331" i="9" s="1"/>
  <c r="S331" i="9" s="1"/>
  <c r="J332" i="9"/>
  <c r="J333" i="9"/>
  <c r="J334" i="9"/>
  <c r="J335" i="9"/>
  <c r="J336" i="9"/>
  <c r="J337" i="9"/>
  <c r="J338" i="9"/>
  <c r="N338" i="9" s="1"/>
  <c r="S338" i="9" s="1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N371" i="9" s="1"/>
  <c r="S371" i="9" s="1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N395" i="9" s="1"/>
  <c r="S395" i="9" s="1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N420" i="9" s="1"/>
  <c r="S420" i="9" s="1"/>
  <c r="J421" i="9"/>
  <c r="N421" i="9" s="1"/>
  <c r="S421" i="9" s="1"/>
  <c r="J422" i="9"/>
  <c r="J423" i="9"/>
  <c r="J424" i="9"/>
  <c r="J425" i="9"/>
  <c r="J426" i="9"/>
  <c r="J427" i="9"/>
  <c r="N427" i="9" s="1"/>
  <c r="S427" i="9" s="1"/>
  <c r="J428" i="9"/>
  <c r="J429" i="9"/>
  <c r="N429" i="9" s="1"/>
  <c r="S429" i="9" s="1"/>
  <c r="J430" i="9"/>
  <c r="J431" i="9"/>
  <c r="J432" i="9"/>
  <c r="J433" i="9"/>
  <c r="J434" i="9"/>
  <c r="J435" i="9"/>
  <c r="J436" i="9"/>
  <c r="N436" i="9" s="1"/>
  <c r="S436" i="9" s="1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N490" i="9" s="1"/>
  <c r="S490" i="9" s="1"/>
  <c r="J491" i="9"/>
  <c r="N491" i="9" s="1"/>
  <c r="S491" i="9" s="1"/>
  <c r="J492" i="9"/>
  <c r="N492" i="9" s="1"/>
  <c r="S492" i="9" s="1"/>
  <c r="J493" i="9"/>
  <c r="N493" i="9" s="1"/>
  <c r="S493" i="9" s="1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N535" i="9" s="1"/>
  <c r="S535" i="9" s="1"/>
  <c r="J536" i="9"/>
  <c r="N536" i="9" s="1"/>
  <c r="S536" i="9" s="1"/>
  <c r="J537" i="9"/>
  <c r="J538" i="9"/>
  <c r="J539" i="9"/>
  <c r="J540" i="9"/>
  <c r="J541" i="9"/>
  <c r="J542" i="9"/>
  <c r="J543" i="9"/>
  <c r="J544" i="9"/>
  <c r="J545" i="9"/>
  <c r="J546" i="9"/>
  <c r="N546" i="9" s="1"/>
  <c r="S546" i="9" s="1"/>
  <c r="J547" i="9"/>
  <c r="J548" i="9"/>
  <c r="J549" i="9"/>
  <c r="J550" i="9"/>
  <c r="J551" i="9"/>
  <c r="J552" i="9"/>
  <c r="J553" i="9"/>
  <c r="N553" i="9" s="1"/>
  <c r="S553" i="9" s="1"/>
  <c r="J554" i="9"/>
  <c r="J555" i="9"/>
  <c r="N555" i="9" s="1"/>
  <c r="S555" i="9" s="1"/>
  <c r="J556" i="9"/>
  <c r="J557" i="9"/>
  <c r="J558" i="9"/>
  <c r="J559" i="9"/>
  <c r="J560" i="9"/>
  <c r="N560" i="9" s="1"/>
  <c r="S560" i="9" s="1"/>
  <c r="J561" i="9"/>
  <c r="J562" i="9"/>
  <c r="J563" i="9"/>
  <c r="N563" i="9" s="1"/>
  <c r="S563" i="9" s="1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N616" i="9" s="1"/>
  <c r="S616" i="9" s="1"/>
  <c r="J617" i="9"/>
  <c r="N617" i="9" s="1"/>
  <c r="S617" i="9" s="1"/>
  <c r="J618" i="9"/>
  <c r="N618" i="9" s="1"/>
  <c r="S618" i="9" s="1"/>
  <c r="J619" i="9"/>
  <c r="N619" i="9" s="1"/>
  <c r="S619" i="9" s="1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N646" i="9" s="1"/>
  <c r="S646" i="9" s="1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N701" i="9" s="1"/>
  <c r="S701" i="9" s="1"/>
  <c r="J702" i="9"/>
  <c r="J703" i="9"/>
  <c r="J704" i="9"/>
  <c r="J705" i="9"/>
  <c r="J706" i="9"/>
  <c r="J707" i="9"/>
  <c r="J708" i="9"/>
  <c r="J709" i="9"/>
  <c r="N709" i="9" s="1"/>
  <c r="S709" i="9" s="1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N771" i="9" s="1"/>
  <c r="S771" i="9" s="1"/>
  <c r="J772" i="9"/>
  <c r="N772" i="9" s="1"/>
  <c r="S772" i="9" s="1"/>
  <c r="J773" i="9"/>
  <c r="N773" i="9" s="1"/>
  <c r="S773" i="9" s="1"/>
  <c r="J774" i="9"/>
  <c r="J775" i="9"/>
  <c r="J776" i="9"/>
  <c r="J777" i="9"/>
  <c r="N777" i="9" s="1"/>
  <c r="S777" i="9" s="1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N812" i="9" s="1"/>
  <c r="S812" i="9" s="1"/>
  <c r="J813" i="9"/>
  <c r="N813" i="9" s="1"/>
  <c r="S813" i="9" s="1"/>
  <c r="J814" i="9"/>
  <c r="N814" i="9" s="1"/>
  <c r="S814" i="9" s="1"/>
  <c r="J815" i="9"/>
  <c r="N815" i="9" s="1"/>
  <c r="S815" i="9" s="1"/>
  <c r="J816" i="9"/>
  <c r="J817" i="9"/>
  <c r="J818" i="9"/>
  <c r="J819" i="9"/>
  <c r="J820" i="9"/>
  <c r="J821" i="9"/>
  <c r="J822" i="9"/>
  <c r="J823" i="9"/>
  <c r="J824" i="9"/>
  <c r="J825" i="9"/>
  <c r="J826" i="9"/>
  <c r="P103" i="9" l="1"/>
  <c r="P55" i="9"/>
  <c r="N784" i="9"/>
  <c r="S784" i="9" s="1"/>
  <c r="N700" i="9"/>
  <c r="S700" i="9" s="1"/>
  <c r="N378" i="9"/>
  <c r="S378" i="9" s="1"/>
  <c r="P87" i="9"/>
  <c r="R121" i="9"/>
  <c r="R48" i="9"/>
  <c r="R51" i="6"/>
  <c r="R89" i="9"/>
  <c r="P73" i="9"/>
  <c r="P40" i="9"/>
  <c r="N51" i="6"/>
  <c r="S51" i="6" s="1"/>
  <c r="N88" i="6"/>
  <c r="S88" i="6" s="1"/>
  <c r="P83" i="9"/>
  <c r="P47" i="9"/>
  <c r="N79" i="6"/>
  <c r="S79" i="6" s="1"/>
  <c r="P51" i="6"/>
  <c r="P100" i="9"/>
  <c r="P83" i="6"/>
  <c r="R50" i="6"/>
  <c r="P79" i="6"/>
  <c r="R110" i="9"/>
  <c r="R86" i="6"/>
  <c r="P128" i="9"/>
  <c r="P37" i="9"/>
  <c r="R114" i="6"/>
  <c r="P93" i="6"/>
  <c r="P114" i="6"/>
  <c r="P51" i="9"/>
  <c r="R121" i="6"/>
  <c r="R47" i="9"/>
  <c r="R68" i="9"/>
  <c r="P121" i="6"/>
  <c r="R37" i="6"/>
  <c r="Q28" i="9" l="1"/>
  <c r="O28" i="9"/>
  <c r="L28" i="9"/>
  <c r="K28" i="9"/>
  <c r="O9" i="9"/>
  <c r="M9" i="9"/>
  <c r="K9" i="9"/>
  <c r="J9" i="9"/>
  <c r="Q28" i="6"/>
  <c r="O28" i="6"/>
  <c r="L28" i="6"/>
  <c r="K28" i="6"/>
  <c r="J10" i="6"/>
  <c r="M10" i="6"/>
  <c r="P28" i="9" l="1"/>
  <c r="N10" i="9"/>
  <c r="S10" i="9" s="1"/>
  <c r="N9" i="9"/>
  <c r="S9" i="9" s="1"/>
  <c r="R28" i="9"/>
  <c r="N10" i="6"/>
  <c r="S10" i="6" s="1"/>
  <c r="S9" i="6" l="1"/>
  <c r="M9" i="6"/>
  <c r="J9" i="6"/>
  <c r="K9" i="6"/>
  <c r="R28" i="6"/>
  <c r="O9" i="6"/>
  <c r="P28" i="6"/>
  <c r="N9" i="6" l="1"/>
</calcChain>
</file>

<file path=xl/sharedStrings.xml><?xml version="1.0" encoding="utf-8"?>
<sst xmlns="http://schemas.openxmlformats.org/spreadsheetml/2006/main" count="5456" uniqueCount="445">
  <si>
    <t>Klasse</t>
  </si>
  <si>
    <t>Attribut</t>
  </si>
  <si>
    <t>Constraints Wertebereich
PAA/SAA AWA/AfU</t>
  </si>
  <si>
    <t>Relevant für Teilprojekt</t>
  </si>
  <si>
    <t>ALR</t>
  </si>
  <si>
    <t>Beseitigung_Ist</t>
  </si>
  <si>
    <t>Bezeichnung</t>
  </si>
  <si>
    <t>Einwohnerwerte</t>
  </si>
  <si>
    <t>Lage</t>
  </si>
  <si>
    <t>OID</t>
  </si>
  <si>
    <t>Sanierungsbedarf</t>
  </si>
  <si>
    <t>Sanierungsdatum</t>
  </si>
  <si>
    <t>Sanierungskonzept</t>
  </si>
  <si>
    <t>Bauwerkskomponente</t>
  </si>
  <si>
    <t>Art</t>
  </si>
  <si>
    <t>Anlagenkataster</t>
  </si>
  <si>
    <t>Beckenentleerung_Art</t>
  </si>
  <si>
    <t>Beckenentleerung_Leistung</t>
  </si>
  <si>
    <t>Beckenreinigung_Art</t>
  </si>
  <si>
    <t>Bemerkung</t>
  </si>
  <si>
    <t>Drosselorgan_Art</t>
  </si>
  <si>
    <t>Drosselorgan_Oeffnung_Ist</t>
  </si>
  <si>
    <t>Feststoffrueckhalt_Art</t>
  </si>
  <si>
    <t>Foerderaggregat_Bauart</t>
  </si>
  <si>
    <t>Messgeraet_Art</t>
  </si>
  <si>
    <t>Messgeraet_Messart</t>
  </si>
  <si>
    <t>Messgeraet_Staukoerper</t>
  </si>
  <si>
    <t>Messgeraet_Zweck</t>
  </si>
  <si>
    <t>Notentlastung_Kote</t>
  </si>
  <si>
    <t>Rueckstausicherung_Art</t>
  </si>
  <si>
    <t>Entwässerungskonzept</t>
  </si>
  <si>
    <t>Status</t>
  </si>
  <si>
    <t>Knoten</t>
  </si>
  <si>
    <t>Baujahr</t>
  </si>
  <si>
    <t>Z-S-U</t>
  </si>
  <si>
    <t>Deckelkote</t>
  </si>
  <si>
    <t>Detailgeometrie</t>
  </si>
  <si>
    <t>Dimension1</t>
  </si>
  <si>
    <t>Dimension2</t>
  </si>
  <si>
    <t>Finanzierung</t>
  </si>
  <si>
    <t>Nutzungsart_Ist</t>
  </si>
  <si>
    <t>Rueckstaukote_Ist</t>
  </si>
  <si>
    <t>Zugaenglichkeit</t>
  </si>
  <si>
    <t>Zustandserhebung_Jahr</t>
  </si>
  <si>
    <t>Leitung</t>
  </si>
  <si>
    <t>Hydr_Belastung_Ist</t>
  </si>
  <si>
    <t>Lagebestimmung</t>
  </si>
  <si>
    <t>Leckschutz</t>
  </si>
  <si>
    <t>Lichte_Breite</t>
  </si>
  <si>
    <t>Lichte_Hoehe</t>
  </si>
  <si>
    <t>Material</t>
  </si>
  <si>
    <t>Profiltyp</t>
  </si>
  <si>
    <t>Reliner_Art</t>
  </si>
  <si>
    <t>Reliner_Nennweite</t>
  </si>
  <si>
    <t>Verlauf</t>
  </si>
  <si>
    <t>Wandrauhigkeit</t>
  </si>
  <si>
    <t>Wiederbeschaffungswert</t>
  </si>
  <si>
    <t>Massnahme</t>
  </si>
  <si>
    <t>Massnahmenplan</t>
  </si>
  <si>
    <t>Beschreibung</t>
  </si>
  <si>
    <t>Datum_Eingang</t>
  </si>
  <si>
    <t>Gesamtkosten</t>
  </si>
  <si>
    <t>Handlungsbedarf</t>
  </si>
  <si>
    <t>Kategorie</t>
  </si>
  <si>
    <t>Linie</t>
  </si>
  <si>
    <t>Perimeter</t>
  </si>
  <si>
    <t>Prioritaet</t>
  </si>
  <si>
    <t>Verweis</t>
  </si>
  <si>
    <t>Organisation</t>
  </si>
  <si>
    <t>Gemeindenummer</t>
  </si>
  <si>
    <t>Kurzbezeichnung</t>
  </si>
  <si>
    <t>Organisationstyp</t>
  </si>
  <si>
    <t>Rohrprofil</t>
  </si>
  <si>
    <t>Rohrprofil_Geometrie</t>
  </si>
  <si>
    <t>Reihenfolge</t>
  </si>
  <si>
    <t>X</t>
  </si>
  <si>
    <t>Y</t>
  </si>
  <si>
    <t>Akten</t>
  </si>
  <si>
    <t>Informationsquelle</t>
  </si>
  <si>
    <t>Sachbearbeiter</t>
  </si>
  <si>
    <t>Standortname</t>
  </si>
  <si>
    <t>Steuerung_Fernwirkung</t>
  </si>
  <si>
    <t>SK_Duekeroberhaupt</t>
  </si>
  <si>
    <t>SK_Einleitstelle</t>
  </si>
  <si>
    <t>Ausfuehrender</t>
  </si>
  <si>
    <t>Auslaufrohr_Lichte_Hoehe</t>
  </si>
  <si>
    <t>Datum_Untersuchung</t>
  </si>
  <si>
    <t>Einfluss_Aeusserer_Aspekt</t>
  </si>
  <si>
    <t>Einfluss_Hilfsindikatoren</t>
  </si>
  <si>
    <t>Einfluss_Makroinvertebraten</t>
  </si>
  <si>
    <t>Einfluss_Wasserpflanzen</t>
  </si>
  <si>
    <t>Gewaesserart</t>
  </si>
  <si>
    <t>Oberflaechengewaesser</t>
  </si>
  <si>
    <t>Q347</t>
  </si>
  <si>
    <t>Relevanzmatrix</t>
  </si>
  <si>
    <t>Wasserspiegel_Hydraulik</t>
  </si>
  <si>
    <t>SK_Pumpwerk</t>
  </si>
  <si>
    <t>Aggregatezahl</t>
  </si>
  <si>
    <t>Einwohner_Dim_Ist</t>
  </si>
  <si>
    <t>Flaeche_Dim_Ist</t>
  </si>
  <si>
    <t>Fremdwasser</t>
  </si>
  <si>
    <t>Fremdwasseranfall_Ist</t>
  </si>
  <si>
    <t>Pumpenregime</t>
  </si>
  <si>
    <t>Schmutzabwasseranfall_Ist</t>
  </si>
  <si>
    <t>Stauraum</t>
  </si>
  <si>
    <t>Volumen_Pumpensumpf</t>
  </si>
  <si>
    <t>Notueberlauf</t>
  </si>
  <si>
    <t>Nutzinhalt</t>
  </si>
  <si>
    <t>Qab_Ist</t>
  </si>
  <si>
    <t>Regenbecken_Anordnung</t>
  </si>
  <si>
    <t>SK_Regenueberlauf</t>
  </si>
  <si>
    <t>Einwohner_Ist</t>
  </si>
  <si>
    <t>Flaeche_Ist</t>
  </si>
  <si>
    <t>Mehrbelastung_Ist</t>
  </si>
  <si>
    <t>Qan_Ist</t>
  </si>
  <si>
    <t>Ueberlauf_Bemerkung</t>
  </si>
  <si>
    <t>Ueberlaufdauer_Ist</t>
  </si>
  <si>
    <t>Ueberlaufhaeufigkeit_Ist</t>
  </si>
  <si>
    <t>Ueberlaufmenge_Ist</t>
  </si>
  <si>
    <t>Wehr_Art</t>
  </si>
  <si>
    <t>SK_Regenueberlaufbecken</t>
  </si>
  <si>
    <t>Nutzinhalt_Fangteil</t>
  </si>
  <si>
    <t>Nutzinhalt_Klaerteil</t>
  </si>
  <si>
    <t>SK_Trennbauwerk</t>
  </si>
  <si>
    <t>SK_Uebrige</t>
  </si>
  <si>
    <t>Beschrieb</t>
  </si>
  <si>
    <t>Teileinzugsgebiet</t>
  </si>
  <si>
    <t>Abflussbegrenzung_Ist</t>
  </si>
  <si>
    <t>Einwohnerdichte_Ist</t>
  </si>
  <si>
    <t>Entwaesserungssystem_Ist</t>
  </si>
  <si>
    <t>Flaeche</t>
  </si>
  <si>
    <t>Retention_Ist</t>
  </si>
  <si>
    <t>Versickerung_Ist</t>
  </si>
  <si>
    <t>Ueberlauf_Foerderaggregat</t>
  </si>
  <si>
    <t>Teststufe 1</t>
  </si>
  <si>
    <t>Abgabe Werkkataster</t>
  </si>
  <si>
    <t>Prüfregel</t>
  </si>
  <si>
    <t>(%) Minimalanforderung</t>
  </si>
  <si>
    <t xml:space="preserve">PAA
</t>
  </si>
  <si>
    <t xml:space="preserve">SAA
</t>
  </si>
  <si>
    <t>Objekte Total</t>
  </si>
  <si>
    <t>PAA
Objekte mit Wert "NULL"</t>
  </si>
  <si>
    <t>[Anzahl]</t>
  </si>
  <si>
    <t>[Anteil in %]</t>
  </si>
  <si>
    <t>SAA
Objekte mit Wert "NULL"</t>
  </si>
  <si>
    <t>PAA</t>
  </si>
  <si>
    <t>eindeutig</t>
  </si>
  <si>
    <t>Objekte Total
PAA</t>
  </si>
  <si>
    <t>Objekte Total
SAA</t>
  </si>
  <si>
    <t>Version VSA Checker Analytics</t>
  </si>
  <si>
    <t>Total</t>
  </si>
  <si>
    <t>Fehlerkategorie</t>
  </si>
  <si>
    <t>Pflichtattribute VSA-DSS-Mini</t>
  </si>
  <si>
    <t>SAA</t>
  </si>
  <si>
    <t>(Fehler/Warnung)</t>
  </si>
  <si>
    <t>Fehler</t>
  </si>
  <si>
    <t>Resultat</t>
  </si>
  <si>
    <t>Fehlerkategorie + Anteil</t>
  </si>
  <si>
    <t>SK_Autonome_Messstelle</t>
  </si>
  <si>
    <t>SK_Regenrueckhaltebecken_Kanal</t>
  </si>
  <si>
    <t>Datenherrref</t>
  </si>
  <si>
    <t>Datenlieferantref</t>
  </si>
  <si>
    <t>Letzte_Aenderung</t>
  </si>
  <si>
    <t>Massnahmeref</t>
  </si>
  <si>
    <t>Obj_Id_Entsorgung</t>
  </si>
  <si>
    <t>Obj_Id_Entsorgung_Abwasserbauwerk</t>
  </si>
  <si>
    <t>Obj_Id_Entsorgung_Einleitstelle</t>
  </si>
  <si>
    <t>Obj_Id_Entsorgung_Versickerungsanlage</t>
  </si>
  <si>
    <t>Obj_Id_Gebaeudegruppe_Entsorgung</t>
  </si>
  <si>
    <t>Ara_Nr</t>
  </si>
  <si>
    <t>Baulicherzustand</t>
  </si>
  <si>
    <t>Betreiberref</t>
  </si>
  <si>
    <t>Eigentuemerref</t>
  </si>
  <si>
    <t>Funktion</t>
  </si>
  <si>
    <t>Funktionhierarchisch</t>
  </si>
  <si>
    <t>Lagegenauigkeit</t>
  </si>
  <si>
    <t>Nutzungsart_Geplant</t>
  </si>
  <si>
    <t>Obj_Id_Abwasserbauwerk</t>
  </si>
  <si>
    <t>Obj_Id_Deckel</t>
  </si>
  <si>
    <t>Sohlenkote</t>
  </si>
  <si>
    <t>Symbolori</t>
  </si>
  <si>
    <t>Funktionhydraulisch</t>
  </si>
  <si>
    <t>Hoehengenauigkeit_Nach</t>
  </si>
  <si>
    <t>Hoehengenauigkeit_Von</t>
  </si>
  <si>
    <t>Knoten_Nachref</t>
  </si>
  <si>
    <t>Knoten_Vonref</t>
  </si>
  <si>
    <t>Kote_Nach</t>
  </si>
  <si>
    <t>Kote_Von</t>
  </si>
  <si>
    <t>Laengeeffektiv</t>
  </si>
  <si>
    <t>Leitung_Nachref</t>
  </si>
  <si>
    <t>Obj_Id_Nachhaltungspunkt</t>
  </si>
  <si>
    <t>Obj_Id_Vonhaltungspunkt</t>
  </si>
  <si>
    <t>Rohrprofilref</t>
  </si>
  <si>
    <t>Wbw_Basisjahr</t>
  </si>
  <si>
    <t>Wbw_Bauart</t>
  </si>
  <si>
    <t>Jahr_Umsetzung_Effektiv</t>
  </si>
  <si>
    <t>Jahr_Umsetzung_Geplant</t>
  </si>
  <si>
    <t>Obj_Id_Erhaltungsereignis_Abwasserbauwerk</t>
  </si>
  <si>
    <t>Traegerschaftref</t>
  </si>
  <si>
    <t>Verantwortlich_Ausloesungref</t>
  </si>
  <si>
    <t>Auid</t>
  </si>
  <si>
    <t>Abflussbegrenzung_Geplant</t>
  </si>
  <si>
    <t>Abflussbeiwert_Rw_Geplant</t>
  </si>
  <si>
    <t>Abflussbeiwert_Rw_Ist</t>
  </si>
  <si>
    <t>Abflussbeiwert_Sw_Geplant</t>
  </si>
  <si>
    <t>Abflussbeiwert_Sw_Ist</t>
  </si>
  <si>
    <t>Befestigungsgrad_Rw_Geplant</t>
  </si>
  <si>
    <t>Befestigungsgrad_Rw_Ist</t>
  </si>
  <si>
    <t>Befestigungsgrad_Sw_Geplant</t>
  </si>
  <si>
    <t>Befestigungsgrad_Sw_Ist</t>
  </si>
  <si>
    <t>Direkteinleitung_In_Gewaesser_Geplant</t>
  </si>
  <si>
    <t>Direkteinleitung_In_Gewaesser_Ist</t>
  </si>
  <si>
    <t>Einwohnerdichte_Geplant</t>
  </si>
  <si>
    <t>Entwaesserungssystem_Geplant</t>
  </si>
  <si>
    <t>Fremdwasseranfall_Geplant</t>
  </si>
  <si>
    <t>Knoten_Rw_Geplantref</t>
  </si>
  <si>
    <t>Knoten_Rw_Istref</t>
  </si>
  <si>
    <t>Knoten_Sw_Geplantref</t>
  </si>
  <si>
    <t>Knoten_Sw_Istref</t>
  </si>
  <si>
    <t>Retention_Geplant</t>
  </si>
  <si>
    <t>Schmutzabwasseranfall_Geplant</t>
  </si>
  <si>
    <t>Versickerung_Geplant</t>
  </si>
  <si>
    <t>Knotenref</t>
  </si>
  <si>
    <t>Drosselorgan_Oeffnung_Ist_Optimiert</t>
  </si>
  <si>
    <t>Feststoffrueckhalt_Anspringkote</t>
  </si>
  <si>
    <t>Feststoffrueckhalt_Dimensionierungswert</t>
  </si>
  <si>
    <t>Foerderaggregat_Foerderstrommax_Einzeln</t>
  </si>
  <si>
    <t>Foerderaggregat_Foerderstrommin_Einzeln</t>
  </si>
  <si>
    <t>Notentlastung_Einleitstelleref</t>
  </si>
  <si>
    <t>Obj_Id_Absperr_Drosselorgan</t>
  </si>
  <si>
    <t>Obj_Id_Beckenentleerung</t>
  </si>
  <si>
    <t>Obj_Id_Beckenreinigung</t>
  </si>
  <si>
    <t>Obj_Id_Feststoffrueckhalt</t>
  </si>
  <si>
    <t>Obj_Id_Messgeraet</t>
  </si>
  <si>
    <t>Obj_Id_Messstelle</t>
  </si>
  <si>
    <t>Obj_Id_Rueckstausicherung</t>
  </si>
  <si>
    <t>Obj_Id_Ueberlauf</t>
  </si>
  <si>
    <t>Ueberlauf_Hydrueberfalllaenge</t>
  </si>
  <si>
    <t>Ueberlauf_Kotemax</t>
  </si>
  <si>
    <t>Ueberlauf_Kotemin</t>
  </si>
  <si>
    <t>Bueroref</t>
  </si>
  <si>
    <t>Paa_Knotenref</t>
  </si>
  <si>
    <t>Standortgemeinderef</t>
  </si>
  <si>
    <t>Hydr_Kennwerte_Bezeichnung_Geplant</t>
  </si>
  <si>
    <t>Hydr_Kennwerte_Bezeichnung_Ist</t>
  </si>
  <si>
    <t>Hydr_Kennwerte_Bezeichnung_Ist_Optimiert</t>
  </si>
  <si>
    <t>Obj_Id_Hydr_Kennwerte_Geplant</t>
  </si>
  <si>
    <t>Obj_Id_Hydr_Kennwerte_Ist</t>
  </si>
  <si>
    <t>Obj_Id_Hydr_Kennwerte_Ist_Optimiert</t>
  </si>
  <si>
    <t>Ausfuehrende_Firmaref</t>
  </si>
  <si>
    <t>Biol_Oekol_Gesamtbeurteilung_Bemerkung</t>
  </si>
  <si>
    <t>Biol_Oekol_Gesamtbeurteilung_Bezeichnung</t>
  </si>
  <si>
    <t>Datum_Letzte_Untersuchung</t>
  </si>
  <si>
    <t>Gewaesserspezifische_Entlastungsfracht_Nh4_N_Geplant</t>
  </si>
  <si>
    <t>Gewaesserspezifische_Entlastungsfracht_Nh4_N_Ist</t>
  </si>
  <si>
    <t>Gewaesserspezifische_Entlastungsfracht_Nh4_N_Ist_Optimiert</t>
  </si>
  <si>
    <t>Immissionsorientierte_Berechnung</t>
  </si>
  <si>
    <t>Obj_Id_Biol_Oekol_Gesamtbeurteilung</t>
  </si>
  <si>
    <t>Relevantes_Gefaelle</t>
  </si>
  <si>
    <t>Vergleich_Letzte_Untersuchung</t>
  </si>
  <si>
    <t>Einwohner_Dim_Geplant</t>
  </si>
  <si>
    <t>Flaeche_Bef_Dim_Geplant</t>
  </si>
  <si>
    <t>Flaeche_Bef_Dim_Ist</t>
  </si>
  <si>
    <t>Flaeche_Dim_Geplant</t>
  </si>
  <si>
    <t>Flaeche_Red_Dim_Geplant</t>
  </si>
  <si>
    <t>Flaeche_Red_Dim_Ist</t>
  </si>
  <si>
    <t>Foerderaggregat_Nutzungsart_Ist</t>
  </si>
  <si>
    <t>Foerderhoehe_Geodaetisch</t>
  </si>
  <si>
    <t>Foerderstrommax</t>
  </si>
  <si>
    <t>Foerderstrommin</t>
  </si>
  <si>
    <t>Obj_Id_Gesamteinzugsgebiet_Geplant</t>
  </si>
  <si>
    <t>Obj_Id_Gesamteinzugsgebiet_Ist</t>
  </si>
  <si>
    <t>Gesamteinzugsgebiet_Bezeichnung_Geplant</t>
  </si>
  <si>
    <t>Gesamteinzugsgebiet_Bezeichnung_Ist</t>
  </si>
  <si>
    <t>Qab_Geplant</t>
  </si>
  <si>
    <t>Qab_Ist_Optimiert</t>
  </si>
  <si>
    <t>Einleitstelleref</t>
  </si>
  <si>
    <t>Einwohner_Geplant</t>
  </si>
  <si>
    <t>Entlastungsanteil_Nh4_N_Geplant</t>
  </si>
  <si>
    <t>Entlastungsanteil_Nh4_N_Ist</t>
  </si>
  <si>
    <t>Entlastungsanteil_Nh4_N_Ist_Optimiert</t>
  </si>
  <si>
    <t>Entlastungsfracht_Nh4_N_Geplant</t>
  </si>
  <si>
    <t>Entlastungsfracht_Nh4_N_Ist</t>
  </si>
  <si>
    <t>Entlastungsfracht_Nh4_N_Ist_Optimiert</t>
  </si>
  <si>
    <t>Flaeche_Bef_Geplant</t>
  </si>
  <si>
    <t>Flaeche_Bef_Ist</t>
  </si>
  <si>
    <t>Flaeche_Geplant</t>
  </si>
  <si>
    <t>Flaeche_Red_Geplant</t>
  </si>
  <si>
    <t>Flaeche_Red_Ist</t>
  </si>
  <si>
    <t>Mehrbelastung_Geplant</t>
  </si>
  <si>
    <t>Mehrbelastung_Ist_Optimiert</t>
  </si>
  <si>
    <t>Qan_Geplant</t>
  </si>
  <si>
    <t>Qan_Ist_Optimiert</t>
  </si>
  <si>
    <t>Springt_An</t>
  </si>
  <si>
    <t>Ueberlaufdauer_Geplant</t>
  </si>
  <si>
    <t>Ueberlaufdauer_Ist_Optimiert</t>
  </si>
  <si>
    <t>Ueberlaufhaeufigkeit_Geplant</t>
  </si>
  <si>
    <t>Ueberlaufhaeufigkeit_Ist_Optimiert</t>
  </si>
  <si>
    <t>Ueberlaufmenge_Geplant</t>
  </si>
  <si>
    <t>Ueberlaufmenge_Ist_Optimiert</t>
  </si>
  <si>
    <t>Primaerrichtungref</t>
  </si>
  <si>
    <t>Sbw_Rw_Geplantref_SK_Autonome_Messstelle</t>
  </si>
  <si>
    <t>Sbw_Rw_Geplantref_SK_Duekeroberhaupt</t>
  </si>
  <si>
    <t>Sbw_Rw_Geplantref_SK_Einleitstelle</t>
  </si>
  <si>
    <t>Sbw_Rw_Geplantref_SK_Pumpwerk</t>
  </si>
  <si>
    <t>Sbw_Rw_Geplantref_SK_Regenrueckhaltebecken_Kanal</t>
  </si>
  <si>
    <t>Sbw_Rw_Geplantref_SK_Regenueberlauf</t>
  </si>
  <si>
    <t>Sbw_Rw_Geplantref_SK_Regenueberlaufbecken</t>
  </si>
  <si>
    <t>Sbw_Rw_Geplantref_SK_Trennbauwerk</t>
  </si>
  <si>
    <t>Sbw_Rw_Geplantref_SK_Uebrige</t>
  </si>
  <si>
    <t>Sbw_Rw_Istref_SK_Autonome_Messstelle</t>
  </si>
  <si>
    <t>Sbw_Rw_Istref_SK_Duekeroberhaupt</t>
  </si>
  <si>
    <t>Sbw_Rw_Istref_SK_Einleitstelle</t>
  </si>
  <si>
    <t>Sbw_Rw_Istref_SK_Pumpwerk</t>
  </si>
  <si>
    <t>Sbw_Rw_Istref_SK_Regenrueckhaltebecken_Kanal</t>
  </si>
  <si>
    <t>Sbw_Rw_Istref_SK_Regenueberlauf</t>
  </si>
  <si>
    <t>Sbw_Rw_Istref_SK_Regenueberlaufbecken</t>
  </si>
  <si>
    <t>Sbw_Rw_Istref_SK_Trennbauwerk</t>
  </si>
  <si>
    <t>Sbw_Rw_Istref_SK_Uebrige</t>
  </si>
  <si>
    <t>Sbw_Sw_Geplantref_SK_Autonome_Messstelle</t>
  </si>
  <si>
    <t>Sbw_Sw_Geplantref_SK_Duekeroberhaupt</t>
  </si>
  <si>
    <t>Sbw_Sw_Geplantref_SK_Einleitstelle</t>
  </si>
  <si>
    <t>Sbw_Sw_Geplantref_SK_Pumpwerk</t>
  </si>
  <si>
    <t>Sbw_Sw_Geplantref_SK_Regenrueckhaltebecken_Kanal</t>
  </si>
  <si>
    <t>Sbw_Sw_Geplantref_SK_Regenueberlauf</t>
  </si>
  <si>
    <t>Sbw_Sw_Geplantref_SK_Regenueberlaufbecken</t>
  </si>
  <si>
    <t>Sbw_Sw_Geplantref_SK_Trennbauwerk</t>
  </si>
  <si>
    <t>Sbw_Sw_Geplantref_SK_Uebrige</t>
  </si>
  <si>
    <t>Sbw_Sw_Istref_SK_Autonome_Messstelle</t>
  </si>
  <si>
    <t>Sbw_Sw_Istref_SK_Duekeroberhaupt</t>
  </si>
  <si>
    <t>Sbw_Sw_Istref_SK_Einleitstelle</t>
  </si>
  <si>
    <t>Sbw_Sw_Istref_SK_Pumpwerk</t>
  </si>
  <si>
    <t>Sbw_Sw_Istref_SK_Regenrueckhaltebecken_Kanal</t>
  </si>
  <si>
    <t>Sbw_Sw_Istref_SK_Regenueberlauf</t>
  </si>
  <si>
    <t>Sbw_Sw_Istref_SK_Regenueberlaufbecken</t>
  </si>
  <si>
    <t>Sbw_Sw_Istref_SK_Trennbauwerk</t>
  </si>
  <si>
    <t>Sbw_Sw_Istref_SK_Uebrige</t>
  </si>
  <si>
    <t>Stammkarteref_SK_Autonome_Messstelle</t>
  </si>
  <si>
    <t>Stammkarteref_SK_Duekeroberhaupt</t>
  </si>
  <si>
    <t>Stammkarteref_SK_Einleitstelle</t>
  </si>
  <si>
    <t>Stammkarteref_SK_Pumpwerk</t>
  </si>
  <si>
    <t>Stammkarteref_SK_Regenrueckhaltebecken_Kanal</t>
  </si>
  <si>
    <t>Stammkarteref_SK_Regenueberlauf</t>
  </si>
  <si>
    <t>Stammkarteref_SK_Regenueberlaufbecken</t>
  </si>
  <si>
    <t>Stammkarteref_SK_Trennbauwerk</t>
  </si>
  <si>
    <t>Stammkarteref_SK_Uebrige</t>
  </si>
  <si>
    <t>Hauptbauwerkref_SK_Autonome_Messstelle</t>
  </si>
  <si>
    <t>Hauptbauwerkref_SK_Duekeroberhaupt</t>
  </si>
  <si>
    <t>Hauptbauwerkref_SK_Einleitstelle</t>
  </si>
  <si>
    <t>Hauptbauwerkref_SK_Pumpwerk</t>
  </si>
  <si>
    <t>Hauptbauwerkref_SK_Regenrueckhaltebecken_Kanal</t>
  </si>
  <si>
    <t>Hauptbauwerkref_SK_Regenueberlauf</t>
  </si>
  <si>
    <t>Hauptbauwerkref_SK_Regenueberlaufbecken</t>
  </si>
  <si>
    <t>Hauptbauwerkref_SK_Trennbauwerk</t>
  </si>
  <si>
    <t>Hauptbauwerkref_SK_Uebrige</t>
  </si>
  <si>
    <t>Naechstes_Sbwref_SK_Autonome_Messstelle</t>
  </si>
  <si>
    <t>Naechstes_Sbwref_SK_Duekeroberhaupt</t>
  </si>
  <si>
    <t>Naechstes_Sbwref_SK_Einleitstelle</t>
  </si>
  <si>
    <t>Naechstes_Sbwref_SK_Pumpwerk</t>
  </si>
  <si>
    <t>Naechstes_Sbwref_SK_Regenrueckhaltebecken_Kanal</t>
  </si>
  <si>
    <t>Naechstes_Sbwref_SK_Regenueberlauf</t>
  </si>
  <si>
    <t>Naechstes_Sbwref_SK_Regenueberlaufbecken</t>
  </si>
  <si>
    <t>Naechstes_Sbwref_SK_Trennbauwerk</t>
  </si>
  <si>
    <t>Naechstes_Sbwref_SK_Uebrige</t>
  </si>
  <si>
    <t>Zustandsnote (nur 2020.1)</t>
  </si>
  <si>
    <t>Dringlichkeitszahl (nur 2020.1)</t>
  </si>
  <si>
    <t>Kennlinie_Stuetzpunkt</t>
  </si>
  <si>
    <t>Abfluss</t>
  </si>
  <si>
    <t>Hoehe</t>
  </si>
  <si>
    <t>OBJ_ID_HQ_Relation</t>
  </si>
  <si>
    <t>SK_DuekeroberhauptRef</t>
  </si>
  <si>
    <t>SK_PumpwerkRef</t>
  </si>
  <si>
    <t>SK_Regenrueckhaltebecken_ka nalRef</t>
  </si>
  <si>
    <t>SK_RegenueberlaufRef</t>
  </si>
  <si>
    <t>SK_RegenueberlaufbeckenRef</t>
  </si>
  <si>
    <t>SK_TrennbauwerkRef</t>
  </si>
  <si>
    <t>Zufluss</t>
  </si>
  <si>
    <t>not unbekannt</t>
  </si>
  <si>
    <t>not 1800</t>
  </si>
  <si>
    <t>10001b</t>
  </si>
  <si>
    <t>10001a</t>
  </si>
  <si>
    <t>10015a</t>
  </si>
  <si>
    <t>10015b</t>
  </si>
  <si>
    <t>11002b</t>
  </si>
  <si>
    <t>11002a</t>
  </si>
  <si>
    <t>11004a</t>
  </si>
  <si>
    <t>11004b</t>
  </si>
  <si>
    <t>Warnung</t>
  </si>
  <si>
    <t>11007b</t>
  </si>
  <si>
    <t>11007a</t>
  </si>
  <si>
    <t>11016a</t>
  </si>
  <si>
    <t>11016b</t>
  </si>
  <si>
    <t>11017a</t>
  </si>
  <si>
    <t>11017b</t>
  </si>
  <si>
    <t>11022a</t>
  </si>
  <si>
    <t>11023a</t>
  </si>
  <si>
    <t>11023b</t>
  </si>
  <si>
    <t>11022b</t>
  </si>
  <si>
    <t>11032a</t>
  </si>
  <si>
    <t>11032b</t>
  </si>
  <si>
    <t>11033a</t>
  </si>
  <si>
    <t>11033b</t>
  </si>
  <si>
    <t>12003b</t>
  </si>
  <si>
    <t>12003a</t>
  </si>
  <si>
    <t>12006a</t>
  </si>
  <si>
    <t>12006b</t>
  </si>
  <si>
    <t>12012a</t>
  </si>
  <si>
    <t>12012b</t>
  </si>
  <si>
    <t>12013a</t>
  </si>
  <si>
    <t>12013b</t>
  </si>
  <si>
    <t>12023a</t>
  </si>
  <si>
    <t>12023b</t>
  </si>
  <si>
    <t>12028a</t>
  </si>
  <si>
    <t>12028b</t>
  </si>
  <si>
    <t>12029a</t>
  </si>
  <si>
    <t>12029b</t>
  </si>
  <si>
    <t>12030a</t>
  </si>
  <si>
    <t>12030b</t>
  </si>
  <si>
    <t>12035a</t>
  </si>
  <si>
    <t>12035b</t>
  </si>
  <si>
    <t>12045a</t>
  </si>
  <si>
    <t>12045b</t>
  </si>
  <si>
    <t>13001a</t>
  </si>
  <si>
    <t>13001b</t>
  </si>
  <si>
    <t>13012a</t>
  </si>
  <si>
    <t>13012b</t>
  </si>
  <si>
    <t>16015a</t>
  </si>
  <si>
    <t>16015b</t>
  </si>
  <si>
    <t>16019b</t>
  </si>
  <si>
    <t>16019a</t>
  </si>
  <si>
    <t>16031a</t>
  </si>
  <si>
    <t>16031b</t>
  </si>
  <si>
    <t>16071b</t>
  </si>
  <si>
    <t>16071a</t>
  </si>
  <si>
    <t>Teststufe 2</t>
  </si>
  <si>
    <t>Abgabe GEP</t>
  </si>
  <si>
    <t>Fehler gefunden</t>
  </si>
  <si>
    <t>12001a</t>
  </si>
  <si>
    <t>12001b</t>
  </si>
  <si>
    <t>12002a</t>
  </si>
  <si>
    <t>12002b</t>
  </si>
  <si>
    <t>12011a</t>
  </si>
  <si>
    <t>12011b</t>
  </si>
  <si>
    <t>Gesamteinzugsgebiet_Bezeichnung_Ist_optimiert (nur 2020)</t>
  </si>
  <si>
    <t>OBJ_ID_Gesamteinzugsgebiet_Ist_optimiert (nur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</si>
</sst>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rgb="FFFDE9D9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left" vertical="top"/>
    </xf>
    <xf numFmtId="9" fontId="7" fillId="8" borderId="24" xfId="1" applyFont="1" applyFill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9" fontId="7" fillId="8" borderId="25" xfId="1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 wrapText="1"/>
    </xf>
    <xf numFmtId="9" fontId="2" fillId="0" borderId="14" xfId="0" applyNumberFormat="1" applyFont="1" applyBorder="1" applyAlignment="1">
      <alignment horizontal="right" vertical="top" wrapText="1"/>
    </xf>
    <xf numFmtId="9" fontId="2" fillId="0" borderId="13" xfId="0" applyNumberFormat="1" applyFont="1" applyBorder="1" applyAlignment="1">
      <alignment horizontal="right" vertical="top" wrapText="1"/>
    </xf>
    <xf numFmtId="0" fontId="8" fillId="10" borderId="6" xfId="0" applyFont="1" applyFill="1" applyBorder="1" applyAlignment="1">
      <alignment horizontal="center" vertical="top" wrapText="1"/>
    </xf>
    <xf numFmtId="9" fontId="2" fillId="0" borderId="16" xfId="0" applyNumberFormat="1" applyFont="1" applyBorder="1" applyAlignment="1">
      <alignment horizontal="right" vertical="top" wrapText="1"/>
    </xf>
    <xf numFmtId="9" fontId="2" fillId="0" borderId="17" xfId="0" applyNumberFormat="1" applyFont="1" applyBorder="1" applyAlignment="1">
      <alignment horizontal="right" vertical="top" wrapText="1"/>
    </xf>
    <xf numFmtId="0" fontId="3" fillId="0" borderId="48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2" fillId="0" borderId="51" xfId="0" applyFont="1" applyBorder="1" applyAlignment="1">
      <alignment horizontal="left" vertical="top"/>
    </xf>
    <xf numFmtId="0" fontId="5" fillId="4" borderId="50" xfId="0" applyFont="1" applyFill="1" applyBorder="1" applyAlignment="1">
      <alignment horizontal="center" vertical="top" wrapText="1"/>
    </xf>
    <xf numFmtId="0" fontId="5" fillId="6" borderId="9" xfId="0" applyFont="1" applyFill="1" applyBorder="1" applyAlignment="1">
      <alignment horizontal="center" vertical="top" wrapText="1"/>
    </xf>
    <xf numFmtId="9" fontId="7" fillId="8" borderId="52" xfId="1" applyFont="1" applyFill="1" applyBorder="1" applyAlignment="1">
      <alignment horizontal="left" vertical="top"/>
    </xf>
    <xf numFmtId="0" fontId="3" fillId="12" borderId="29" xfId="0" applyFont="1" applyFill="1" applyBorder="1" applyAlignment="1">
      <alignment horizontal="center" vertical="top" wrapText="1"/>
    </xf>
    <xf numFmtId="0" fontId="3" fillId="12" borderId="30" xfId="0" applyFont="1" applyFill="1" applyBorder="1" applyAlignment="1">
      <alignment horizontal="center" vertical="top" wrapText="1"/>
    </xf>
    <xf numFmtId="0" fontId="5" fillId="12" borderId="31" xfId="0" applyFont="1" applyFill="1" applyBorder="1" applyAlignment="1">
      <alignment horizontal="center" vertical="top" wrapText="1"/>
    </xf>
    <xf numFmtId="0" fontId="2" fillId="0" borderId="53" xfId="0" applyFont="1" applyBorder="1" applyAlignment="1">
      <alignment horizontal="center" vertical="top"/>
    </xf>
    <xf numFmtId="9" fontId="2" fillId="0" borderId="16" xfId="0" applyNumberFormat="1" applyFont="1" applyBorder="1" applyAlignment="1">
      <alignment horizontal="center" vertical="top" wrapText="1"/>
    </xf>
    <xf numFmtId="9" fontId="2" fillId="0" borderId="17" xfId="0" applyNumberFormat="1" applyFont="1" applyBorder="1" applyAlignment="1">
      <alignment horizontal="center" vertical="top" wrapText="1"/>
    </xf>
    <xf numFmtId="0" fontId="2" fillId="11" borderId="34" xfId="0" applyFont="1" applyFill="1" applyBorder="1" applyAlignment="1">
      <alignment horizontal="center" vertical="top"/>
    </xf>
    <xf numFmtId="0" fontId="2" fillId="11" borderId="35" xfId="0" applyFont="1" applyFill="1" applyBorder="1" applyAlignment="1">
      <alignment horizontal="center" vertical="top"/>
    </xf>
    <xf numFmtId="0" fontId="2" fillId="11" borderId="36" xfId="0" applyFont="1" applyFill="1" applyBorder="1" applyAlignment="1">
      <alignment horizontal="center" vertical="top"/>
    </xf>
    <xf numFmtId="0" fontId="2" fillId="11" borderId="4" xfId="0" applyFont="1" applyFill="1" applyBorder="1" applyAlignment="1">
      <alignment horizontal="center" vertical="top"/>
    </xf>
    <xf numFmtId="0" fontId="2" fillId="11" borderId="37" xfId="0" applyFont="1" applyFill="1" applyBorder="1" applyAlignment="1">
      <alignment horizontal="center" vertical="top"/>
    </xf>
    <xf numFmtId="0" fontId="2" fillId="11" borderId="38" xfId="0" applyFont="1" applyFill="1" applyBorder="1" applyAlignment="1">
      <alignment horizontal="center" vertical="top"/>
    </xf>
    <xf numFmtId="0" fontId="5" fillId="0" borderId="46" xfId="0" applyFont="1" applyBorder="1" applyAlignment="1">
      <alignment horizontal="center" vertical="top" wrapText="1"/>
    </xf>
    <xf numFmtId="0" fontId="5" fillId="0" borderId="47" xfId="0" applyFont="1" applyBorder="1" applyAlignment="1">
      <alignment horizontal="center" vertical="top" wrapText="1"/>
    </xf>
    <xf numFmtId="9" fontId="2" fillId="0" borderId="18" xfId="0" applyNumberFormat="1" applyFont="1" applyBorder="1" applyAlignment="1">
      <alignment horizontal="center" vertical="top" wrapText="1"/>
    </xf>
    <xf numFmtId="9" fontId="2" fillId="0" borderId="19" xfId="0" applyNumberFormat="1" applyFont="1" applyBorder="1" applyAlignment="1">
      <alignment horizontal="center" vertical="top" wrapText="1"/>
    </xf>
    <xf numFmtId="0" fontId="3" fillId="6" borderId="28" xfId="0" applyFont="1" applyFill="1" applyBorder="1" applyAlignment="1">
      <alignment horizontal="center" vertical="top" wrapText="1"/>
    </xf>
    <xf numFmtId="0" fontId="5" fillId="6" borderId="27" xfId="0" applyFont="1" applyFill="1" applyBorder="1" applyAlignment="1">
      <alignment horizontal="center" vertical="top" wrapText="1"/>
    </xf>
    <xf numFmtId="9" fontId="2" fillId="0" borderId="22" xfId="0" applyNumberFormat="1" applyFont="1" applyBorder="1" applyAlignment="1">
      <alignment horizontal="center" vertical="top" wrapText="1"/>
    </xf>
    <xf numFmtId="9" fontId="2" fillId="0" borderId="23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7" borderId="27" xfId="0" applyFont="1" applyFill="1" applyBorder="1" applyAlignment="1">
      <alignment horizontal="center" vertical="top" wrapText="1"/>
    </xf>
    <xf numFmtId="0" fontId="5" fillId="6" borderId="28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5" borderId="26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center" vertical="top"/>
    </xf>
    <xf numFmtId="0" fontId="5" fillId="7" borderId="27" xfId="0" applyFont="1" applyFill="1" applyBorder="1" applyAlignment="1">
      <alignment horizontal="center" vertical="top"/>
    </xf>
    <xf numFmtId="0" fontId="3" fillId="5" borderId="28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5" fillId="2" borderId="16" xfId="0" applyFont="1" applyFill="1" applyBorder="1" applyAlignment="1">
      <alignment horizontal="center" vertical="top" wrapText="1"/>
    </xf>
    <xf numFmtId="0" fontId="5" fillId="2" borderId="17" xfId="0" applyFont="1" applyFill="1" applyBorder="1" applyAlignment="1">
      <alignment horizontal="center" vertical="top" wrapText="1"/>
    </xf>
    <xf numFmtId="0" fontId="8" fillId="9" borderId="4" xfId="0" applyFont="1" applyFill="1" applyBorder="1" applyAlignment="1">
      <alignment horizontal="center" vertical="top" wrapText="1"/>
    </xf>
    <xf numFmtId="0" fontId="8" fillId="9" borderId="32" xfId="0" applyFont="1" applyFill="1" applyBorder="1" applyAlignment="1">
      <alignment horizontal="center" vertical="top" wrapText="1"/>
    </xf>
    <xf numFmtId="0" fontId="8" fillId="9" borderId="27" xfId="0" applyFont="1" applyFill="1" applyBorder="1" applyAlignment="1">
      <alignment horizontal="center" vertical="top" wrapText="1"/>
    </xf>
    <xf numFmtId="0" fontId="8" fillId="9" borderId="26" xfId="0" applyFont="1" applyFill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5" fillId="0" borderId="44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5" fillId="0" borderId="45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11" borderId="40" xfId="0" applyFont="1" applyFill="1" applyBorder="1" applyAlignment="1">
      <alignment horizontal="center" vertical="top"/>
    </xf>
    <xf numFmtId="0" fontId="2" fillId="11" borderId="42" xfId="0" applyFont="1" applyFill="1" applyBorder="1" applyAlignment="1">
      <alignment horizontal="center" vertical="top"/>
    </xf>
    <xf numFmtId="0" fontId="2" fillId="11" borderId="39" xfId="0" applyFont="1" applyFill="1" applyBorder="1" applyAlignment="1">
      <alignment horizontal="center" vertical="top"/>
    </xf>
    <xf numFmtId="9" fontId="7" fillId="11" borderId="40" xfId="1" applyFont="1" applyFill="1" applyBorder="1" applyAlignment="1">
      <alignment horizontal="center" vertical="top"/>
    </xf>
    <xf numFmtId="9" fontId="7" fillId="11" borderId="41" xfId="1" applyFont="1" applyFill="1" applyBorder="1" applyAlignment="1">
      <alignment horizontal="center" vertical="top"/>
    </xf>
    <xf numFmtId="9" fontId="7" fillId="11" borderId="36" xfId="1" applyFont="1" applyFill="1" applyBorder="1" applyAlignment="1">
      <alignment horizontal="center" vertical="top"/>
    </xf>
    <xf numFmtId="9" fontId="7" fillId="11" borderId="4" xfId="1" applyFont="1" applyFill="1" applyBorder="1" applyAlignment="1">
      <alignment horizontal="center" vertical="top"/>
    </xf>
    <xf numFmtId="0" fontId="0" fillId="13" borderId="36" xfId="0" applyFill="1" applyBorder="1" applyAlignment="1">
      <alignment horizontal="center" vertical="top"/>
    </xf>
    <xf numFmtId="0" fontId="0" fillId="13" borderId="39" xfId="0" applyFill="1" applyBorder="1" applyAlignment="1">
      <alignment horizontal="center" vertical="top"/>
    </xf>
    <xf numFmtId="0" fontId="0" fillId="13" borderId="4" xfId="0" applyFill="1" applyBorder="1" applyAlignment="1">
      <alignment horizontal="center" vertical="top"/>
    </xf>
    <xf numFmtId="0" fontId="0" fillId="13" borderId="45" xfId="0" applyFill="1" applyBorder="1" applyAlignment="1">
      <alignment horizontal="center" vertical="top"/>
    </xf>
    <xf numFmtId="0" fontId="2" fillId="15" borderId="20" xfId="0" applyFont="1" applyFill="1" applyBorder="1" applyAlignment="1">
      <alignment horizontal="center" vertical="top" wrapText="1"/>
    </xf>
    <xf numFmtId="0" fontId="2" fillId="15" borderId="21" xfId="0" applyFont="1" applyFill="1" applyBorder="1" applyAlignment="1">
      <alignment horizontal="center" vertical="top" wrapText="1"/>
    </xf>
    <xf numFmtId="0" fontId="3" fillId="14" borderId="18" xfId="0" applyFont="1" applyFill="1" applyBorder="1" applyAlignment="1">
      <alignment horizontal="center" vertical="top" wrapText="1"/>
    </xf>
    <xf numFmtId="0" fontId="5" fillId="14" borderId="19" xfId="0" applyFont="1" applyFill="1" applyBorder="1" applyAlignment="1">
      <alignment horizontal="center" vertical="top" wrapText="1"/>
    </xf>
    <xf numFmtId="0" fontId="3" fillId="14" borderId="16" xfId="0" applyFont="1" applyFill="1" applyBorder="1" applyAlignment="1">
      <alignment horizontal="center" vertical="top" wrapText="1"/>
    </xf>
    <xf numFmtId="0" fontId="5" fillId="14" borderId="17" xfId="0" applyFont="1" applyFill="1" applyBorder="1" applyAlignment="1">
      <alignment horizontal="center" vertical="top" wrapText="1"/>
    </xf>
    <xf numFmtId="0" fontId="2" fillId="14" borderId="16" xfId="0" applyFont="1" applyFill="1" applyBorder="1" applyAlignment="1">
      <alignment horizontal="center" vertical="top" wrapText="1"/>
    </xf>
    <xf numFmtId="0" fontId="4" fillId="14" borderId="17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1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theme="5" tint="0.3999450666829432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ABF8F"/>
        </patternFill>
      </fill>
    </dxf>
  </dxfs>
  <tableStyles count="0" defaultTableStyle="TableStyleMedium2" defaultPivotStyle="PivotStyleLight16"/>
  <colors>
    <mruColors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302F0F-DBBC-40C5-A8CD-2F210F2C48F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c6502e8-6ebe-4990-89b0-bb0ab9bea41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5EF9-60C2-4975-8C33-456006461D96}">
  <dimension ref="A1:AE826"/>
  <sheetViews>
    <sheetView tabSelected="1" zoomScaleNormal="100" workbookViewId="0">
      <pane ySplit="8" topLeftCell="A9" activePane="bottomLeft" state="frozen"/>
      <selection pane="bottomLeft" activeCell="B9" sqref="B9"/>
    </sheetView>
  </sheetViews>
  <sheetFormatPr defaultColWidth="14.42578125" defaultRowHeight="15" customHeight="1" x14ac:dyDescent="0.2"/>
  <cols>
    <col min="1" max="1" width="14.5703125" customWidth="1"/>
    <col min="2" max="2" width="30.85546875" bestFit="1" customWidth="1"/>
    <col min="3" max="3" width="54.7109375" bestFit="1" customWidth="1"/>
    <col min="4" max="4" width="15.42578125" customWidth="1"/>
    <col min="5" max="8" width="12" customWidth="1"/>
    <col min="9" max="9" width="22.28515625" customWidth="1"/>
    <col min="10" max="18" width="13.5703125" customWidth="1"/>
    <col min="19" max="19" width="23.5703125" customWidth="1"/>
    <col min="20" max="31" width="11.140625" customWidth="1"/>
  </cols>
  <sheetData>
    <row r="1" spans="1:31" x14ac:dyDescent="0.2">
      <c r="A1" s="2" t="s">
        <v>152</v>
      </c>
      <c r="C1" s="3"/>
      <c r="D1" s="58" t="s">
        <v>149</v>
      </c>
      <c r="E1" s="58"/>
      <c r="F1" s="58"/>
      <c r="G1" s="58"/>
      <c r="H1" s="58"/>
      <c r="I1" s="5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75" customHeight="1" x14ac:dyDescent="0.2">
      <c r="A2" s="1"/>
      <c r="B2" s="6"/>
      <c r="C2" s="4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2.75" customHeight="1" thickBot="1" x14ac:dyDescent="0.25">
      <c r="A3" s="4"/>
      <c r="B3" s="11"/>
      <c r="C3" s="4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2.75" customHeight="1" x14ac:dyDescent="0.2">
      <c r="A4" s="4"/>
      <c r="B4" s="11"/>
      <c r="C4" s="4"/>
      <c r="D4" s="10"/>
      <c r="E4" s="71" t="s">
        <v>134</v>
      </c>
      <c r="F4" s="72"/>
      <c r="G4" s="79"/>
      <c r="H4" s="8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2.75" customHeight="1" thickBot="1" x14ac:dyDescent="0.25">
      <c r="A5" s="4"/>
      <c r="B5" s="11"/>
      <c r="C5" s="4"/>
      <c r="D5" s="10"/>
      <c r="E5" s="73" t="s">
        <v>135</v>
      </c>
      <c r="F5" s="74"/>
      <c r="G5" s="81" t="s">
        <v>151</v>
      </c>
      <c r="H5" s="8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2.75" customHeight="1" x14ac:dyDescent="0.2">
      <c r="A6" s="4"/>
      <c r="B6" s="11"/>
      <c r="C6" s="4"/>
      <c r="D6" s="10"/>
      <c r="E6" s="67" t="s">
        <v>137</v>
      </c>
      <c r="F6" s="68"/>
      <c r="G6" s="83" t="s">
        <v>154</v>
      </c>
      <c r="H6" s="84"/>
      <c r="I6" s="4"/>
      <c r="J6" s="64" t="s">
        <v>140</v>
      </c>
      <c r="K6" s="59" t="s">
        <v>147</v>
      </c>
      <c r="L6" s="59" t="s">
        <v>148</v>
      </c>
      <c r="M6" s="75" t="s">
        <v>436</v>
      </c>
      <c r="N6" s="76"/>
      <c r="O6" s="66" t="s">
        <v>436</v>
      </c>
      <c r="P6" s="63"/>
      <c r="Q6" s="54" t="s">
        <v>436</v>
      </c>
      <c r="R6" s="55"/>
      <c r="S6" s="38" t="s">
        <v>156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2.75" customHeight="1" thickBot="1" x14ac:dyDescent="0.25">
      <c r="A7" s="4"/>
      <c r="B7" s="3"/>
      <c r="C7" s="4"/>
      <c r="D7" s="10"/>
      <c r="E7" s="69"/>
      <c r="F7" s="70"/>
      <c r="G7" s="50"/>
      <c r="H7" s="51"/>
      <c r="I7" s="4"/>
      <c r="J7" s="65"/>
      <c r="K7" s="60"/>
      <c r="L7" s="60"/>
      <c r="M7" s="77" t="s">
        <v>150</v>
      </c>
      <c r="N7" s="78"/>
      <c r="O7" s="62" t="s">
        <v>141</v>
      </c>
      <c r="P7" s="63"/>
      <c r="Q7" s="61" t="s">
        <v>144</v>
      </c>
      <c r="R7" s="55"/>
      <c r="S7" s="39" t="s">
        <v>157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8.5" customHeight="1" thickBot="1" x14ac:dyDescent="0.25">
      <c r="A8" s="12" t="s">
        <v>136</v>
      </c>
      <c r="B8" s="7" t="s">
        <v>0</v>
      </c>
      <c r="C8" s="7" t="s">
        <v>1</v>
      </c>
      <c r="D8" s="13" t="s">
        <v>2</v>
      </c>
      <c r="E8" s="14" t="s">
        <v>138</v>
      </c>
      <c r="F8" s="15" t="s">
        <v>139</v>
      </c>
      <c r="G8" s="32" t="s">
        <v>145</v>
      </c>
      <c r="H8" s="33" t="s">
        <v>153</v>
      </c>
      <c r="I8" s="16" t="s">
        <v>3</v>
      </c>
      <c r="J8" s="35" t="s">
        <v>142</v>
      </c>
      <c r="K8" s="26" t="s">
        <v>142</v>
      </c>
      <c r="L8" s="26" t="s">
        <v>142</v>
      </c>
      <c r="M8" s="29" t="s">
        <v>142</v>
      </c>
      <c r="N8" s="29" t="s">
        <v>143</v>
      </c>
      <c r="O8" s="17" t="s">
        <v>142</v>
      </c>
      <c r="P8" s="17" t="s">
        <v>143</v>
      </c>
      <c r="Q8" s="18" t="s">
        <v>142</v>
      </c>
      <c r="R8" s="36" t="s">
        <v>143</v>
      </c>
      <c r="S8" s="40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2.75" x14ac:dyDescent="0.2">
      <c r="A9" s="4" t="s">
        <v>380</v>
      </c>
      <c r="B9" s="4" t="s">
        <v>4</v>
      </c>
      <c r="C9" s="4" t="s">
        <v>5</v>
      </c>
      <c r="D9" s="8"/>
      <c r="E9" s="56"/>
      <c r="F9" s="57"/>
      <c r="G9" s="52"/>
      <c r="H9" s="53"/>
      <c r="I9" s="24" t="s">
        <v>4</v>
      </c>
      <c r="J9" s="34" t="str">
        <f>IF(E9="","",raw_data!C1)</f>
        <v/>
      </c>
      <c r="K9" s="44" t="str">
        <f>IF(E27="","",raw_data!F17)</f>
        <v/>
      </c>
      <c r="L9" s="45"/>
      <c r="M9" s="21" t="str">
        <f>IF(E9="","",raw_data!F1)</f>
        <v/>
      </c>
      <c r="N9" s="22" t="str">
        <f>IF(E9="","",IFERROR(M9/J9,"-"))</f>
        <v/>
      </c>
      <c r="O9" s="45" t="str">
        <f>IF(E27="","",raw_data!G17)</f>
        <v/>
      </c>
      <c r="P9" s="45"/>
      <c r="Q9" s="45"/>
      <c r="R9" s="45"/>
      <c r="S9" s="41" t="str">
        <f>IF(E9="","",IF(OR(NOT(ISNUMBER(N9)),N9&lt;=(1-E9)),"erfüllt",IF(G9="Fehler","mit Fehler",IF(G9="Warnung","mit Warnung",""))))</f>
        <v/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2.75" x14ac:dyDescent="0.2">
      <c r="A10" s="4" t="s">
        <v>379</v>
      </c>
      <c r="B10" s="4" t="s">
        <v>4</v>
      </c>
      <c r="C10" s="9" t="s">
        <v>5</v>
      </c>
      <c r="D10" s="23" t="s">
        <v>377</v>
      </c>
      <c r="E10" s="42"/>
      <c r="F10" s="43"/>
      <c r="G10" s="42"/>
      <c r="H10" s="43"/>
      <c r="I10" s="25" t="s">
        <v>4</v>
      </c>
      <c r="J10" s="34" t="str">
        <f>IF(E10="","",raw_data!C2)</f>
        <v/>
      </c>
      <c r="K10" s="46"/>
      <c r="L10" s="47"/>
      <c r="M10" s="19" t="str">
        <f>IF(E10="","",raw_data!F2)</f>
        <v/>
      </c>
      <c r="N10" s="20" t="str">
        <f>IF(E10="","",IFERROR(M10/J10,"-"))</f>
        <v/>
      </c>
      <c r="O10" s="47"/>
      <c r="P10" s="47"/>
      <c r="Q10" s="47"/>
      <c r="R10" s="47"/>
      <c r="S10" s="41" t="str">
        <f t="shared" ref="S10:S73" si="0">IF(E10="","",IF(OR(NOT(ISNUMBER(N10)),N10&lt;=(1-E10)),"erfüllt",IF(G10="Fehler","mit Fehler",IF(G10="Warnung","mit Warnung",""))))</f>
        <v/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2.75" x14ac:dyDescent="0.2">
      <c r="A11" s="9">
        <v>10002</v>
      </c>
      <c r="B11" s="9" t="s">
        <v>4</v>
      </c>
      <c r="C11" s="9" t="s">
        <v>6</v>
      </c>
      <c r="D11" s="23"/>
      <c r="E11" s="42"/>
      <c r="F11" s="43"/>
      <c r="G11" s="42"/>
      <c r="H11" s="43"/>
      <c r="I11" s="25" t="s">
        <v>4</v>
      </c>
      <c r="J11" s="34" t="str">
        <f>IF(E11="","",raw_data!C3)</f>
        <v/>
      </c>
      <c r="K11" s="46"/>
      <c r="L11" s="47"/>
      <c r="M11" s="19" t="str">
        <f>IF(E11="","",raw_data!F3)</f>
        <v/>
      </c>
      <c r="N11" s="20" t="str">
        <f t="shared" ref="N11:N74" si="1">IF(E11="","",IFERROR(M11/J11,"-"))</f>
        <v/>
      </c>
      <c r="O11" s="47"/>
      <c r="P11" s="47"/>
      <c r="Q11" s="47"/>
      <c r="R11" s="47"/>
      <c r="S11" s="41" t="str">
        <f t="shared" si="0"/>
        <v/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2.75" x14ac:dyDescent="0.2">
      <c r="A12" s="9">
        <v>10003</v>
      </c>
      <c r="B12" s="9" t="s">
        <v>4</v>
      </c>
      <c r="C12" s="9" t="s">
        <v>160</v>
      </c>
      <c r="D12" s="23"/>
      <c r="E12" s="42"/>
      <c r="F12" s="43"/>
      <c r="G12" s="42"/>
      <c r="H12" s="43"/>
      <c r="I12" s="25" t="s">
        <v>4</v>
      </c>
      <c r="J12" s="34" t="str">
        <f>IF(E12="","",raw_data!C4)</f>
        <v/>
      </c>
      <c r="K12" s="46"/>
      <c r="L12" s="47"/>
      <c r="M12" s="19" t="str">
        <f>IF(E12="","",raw_data!F4)</f>
        <v/>
      </c>
      <c r="N12" s="20" t="str">
        <f t="shared" si="1"/>
        <v/>
      </c>
      <c r="O12" s="47"/>
      <c r="P12" s="47"/>
      <c r="Q12" s="47"/>
      <c r="R12" s="47"/>
      <c r="S12" s="41" t="str">
        <f t="shared" si="0"/>
        <v/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2.75" x14ac:dyDescent="0.2">
      <c r="A13" s="9">
        <v>10004</v>
      </c>
      <c r="B13" s="9" t="s">
        <v>4</v>
      </c>
      <c r="C13" s="9" t="s">
        <v>161</v>
      </c>
      <c r="D13" s="23"/>
      <c r="E13" s="42"/>
      <c r="F13" s="43"/>
      <c r="G13" s="42"/>
      <c r="H13" s="43"/>
      <c r="I13" s="25" t="s">
        <v>4</v>
      </c>
      <c r="J13" s="34" t="str">
        <f>IF(E13="","",raw_data!C5)</f>
        <v/>
      </c>
      <c r="K13" s="46"/>
      <c r="L13" s="47"/>
      <c r="M13" s="19" t="str">
        <f>IF(E13="","",raw_data!F5)</f>
        <v/>
      </c>
      <c r="N13" s="20" t="str">
        <f t="shared" si="1"/>
        <v/>
      </c>
      <c r="O13" s="47"/>
      <c r="P13" s="47"/>
      <c r="Q13" s="47"/>
      <c r="R13" s="47"/>
      <c r="S13" s="41" t="str">
        <f t="shared" si="0"/>
        <v/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2.75" x14ac:dyDescent="0.2">
      <c r="A14" s="9">
        <v>10005</v>
      </c>
      <c r="B14" s="9" t="s">
        <v>4</v>
      </c>
      <c r="C14" s="9" t="s">
        <v>7</v>
      </c>
      <c r="D14" s="23"/>
      <c r="E14" s="42"/>
      <c r="F14" s="43"/>
      <c r="G14" s="42"/>
      <c r="H14" s="43"/>
      <c r="I14" s="25" t="s">
        <v>4</v>
      </c>
      <c r="J14" s="34" t="str">
        <f>IF(E14="","",raw_data!C6)</f>
        <v/>
      </c>
      <c r="K14" s="46"/>
      <c r="L14" s="47"/>
      <c r="M14" s="19" t="str">
        <f>IF(E14="","",raw_data!F6)</f>
        <v/>
      </c>
      <c r="N14" s="20" t="str">
        <f t="shared" si="1"/>
        <v/>
      </c>
      <c r="O14" s="47"/>
      <c r="P14" s="47"/>
      <c r="Q14" s="47"/>
      <c r="R14" s="47"/>
      <c r="S14" s="41" t="str">
        <f t="shared" si="0"/>
        <v/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2.75" x14ac:dyDescent="0.2">
      <c r="A15" s="9">
        <v>10006</v>
      </c>
      <c r="B15" s="9" t="s">
        <v>4</v>
      </c>
      <c r="C15" s="9" t="s">
        <v>8</v>
      </c>
      <c r="D15" s="23"/>
      <c r="E15" s="42"/>
      <c r="F15" s="43"/>
      <c r="G15" s="42"/>
      <c r="H15" s="43"/>
      <c r="I15" s="25" t="s">
        <v>4</v>
      </c>
      <c r="J15" s="34" t="str">
        <f>IF(E15="","",raw_data!C7)</f>
        <v/>
      </c>
      <c r="K15" s="46"/>
      <c r="L15" s="47"/>
      <c r="M15" s="19" t="str">
        <f>IF(E15="","",raw_data!F7)</f>
        <v/>
      </c>
      <c r="N15" s="20" t="str">
        <f t="shared" si="1"/>
        <v/>
      </c>
      <c r="O15" s="47"/>
      <c r="P15" s="47"/>
      <c r="Q15" s="47"/>
      <c r="R15" s="47"/>
      <c r="S15" s="41" t="str">
        <f t="shared" si="0"/>
        <v/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2.75" x14ac:dyDescent="0.2">
      <c r="A16" s="9">
        <v>10007</v>
      </c>
      <c r="B16" s="9" t="s">
        <v>4</v>
      </c>
      <c r="C16" s="9" t="s">
        <v>162</v>
      </c>
      <c r="D16" s="23"/>
      <c r="E16" s="42"/>
      <c r="F16" s="43"/>
      <c r="G16" s="42"/>
      <c r="H16" s="43"/>
      <c r="I16" s="25" t="s">
        <v>4</v>
      </c>
      <c r="J16" s="34" t="str">
        <f>IF(E16="","",raw_data!C8)</f>
        <v/>
      </c>
      <c r="K16" s="46"/>
      <c r="L16" s="47"/>
      <c r="M16" s="19" t="str">
        <f>IF(E16="","",raw_data!F8)</f>
        <v/>
      </c>
      <c r="N16" s="20" t="str">
        <f t="shared" si="1"/>
        <v/>
      </c>
      <c r="O16" s="47"/>
      <c r="P16" s="47"/>
      <c r="Q16" s="47"/>
      <c r="R16" s="47"/>
      <c r="S16" s="41" t="str">
        <f t="shared" si="0"/>
        <v/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2.75" x14ac:dyDescent="0.2">
      <c r="A17" s="9">
        <v>10008</v>
      </c>
      <c r="B17" s="9" t="s">
        <v>4</v>
      </c>
      <c r="C17" s="9" t="s">
        <v>163</v>
      </c>
      <c r="D17" s="23"/>
      <c r="E17" s="42"/>
      <c r="F17" s="43"/>
      <c r="G17" s="42"/>
      <c r="H17" s="43"/>
      <c r="I17" s="25" t="s">
        <v>4</v>
      </c>
      <c r="J17" s="34" t="str">
        <f>IF(E17="","",raw_data!C9)</f>
        <v/>
      </c>
      <c r="K17" s="46"/>
      <c r="L17" s="47"/>
      <c r="M17" s="19" t="str">
        <f>IF(E17="","",raw_data!F9)</f>
        <v/>
      </c>
      <c r="N17" s="20" t="str">
        <f t="shared" si="1"/>
        <v/>
      </c>
      <c r="O17" s="47"/>
      <c r="P17" s="47"/>
      <c r="Q17" s="47"/>
      <c r="R17" s="47"/>
      <c r="S17" s="41" t="str">
        <f t="shared" si="0"/>
        <v/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2.75" x14ac:dyDescent="0.2">
      <c r="A18" s="9">
        <v>10009</v>
      </c>
      <c r="B18" s="9" t="s">
        <v>4</v>
      </c>
      <c r="C18" s="9" t="s">
        <v>164</v>
      </c>
      <c r="D18" s="23"/>
      <c r="E18" s="42"/>
      <c r="F18" s="43"/>
      <c r="G18" s="42"/>
      <c r="H18" s="43"/>
      <c r="I18" s="25" t="s">
        <v>4</v>
      </c>
      <c r="J18" s="34" t="str">
        <f>IF(E18="","",raw_data!C10)</f>
        <v/>
      </c>
      <c r="K18" s="46"/>
      <c r="L18" s="47"/>
      <c r="M18" s="19" t="str">
        <f>IF(E18="","",raw_data!F10)</f>
        <v/>
      </c>
      <c r="N18" s="20" t="str">
        <f t="shared" si="1"/>
        <v/>
      </c>
      <c r="O18" s="47"/>
      <c r="P18" s="47"/>
      <c r="Q18" s="47"/>
      <c r="R18" s="47"/>
      <c r="S18" s="41" t="str">
        <f t="shared" si="0"/>
        <v/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2.75" x14ac:dyDescent="0.2">
      <c r="A19" s="9">
        <v>10010</v>
      </c>
      <c r="B19" s="9" t="s">
        <v>4</v>
      </c>
      <c r="C19" s="9" t="s">
        <v>165</v>
      </c>
      <c r="D19" s="23"/>
      <c r="E19" s="42"/>
      <c r="F19" s="43"/>
      <c r="G19" s="42"/>
      <c r="H19" s="43"/>
      <c r="I19" s="25" t="s">
        <v>4</v>
      </c>
      <c r="J19" s="34" t="str">
        <f>IF(E19="","",raw_data!C11)</f>
        <v/>
      </c>
      <c r="K19" s="46"/>
      <c r="L19" s="47"/>
      <c r="M19" s="19" t="str">
        <f>IF(E19="","",raw_data!F11)</f>
        <v/>
      </c>
      <c r="N19" s="20" t="str">
        <f t="shared" si="1"/>
        <v/>
      </c>
      <c r="O19" s="47"/>
      <c r="P19" s="47"/>
      <c r="Q19" s="47"/>
      <c r="R19" s="47"/>
      <c r="S19" s="41" t="str">
        <f t="shared" si="0"/>
        <v/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2.75" x14ac:dyDescent="0.2">
      <c r="A20" s="9">
        <v>10011</v>
      </c>
      <c r="B20" s="9" t="s">
        <v>4</v>
      </c>
      <c r="C20" s="9" t="s">
        <v>166</v>
      </c>
      <c r="D20" s="23"/>
      <c r="E20" s="42"/>
      <c r="F20" s="43"/>
      <c r="G20" s="42"/>
      <c r="H20" s="43"/>
      <c r="I20" s="25" t="s">
        <v>4</v>
      </c>
      <c r="J20" s="34" t="str">
        <f>IF(E20="","",raw_data!C12)</f>
        <v/>
      </c>
      <c r="K20" s="46"/>
      <c r="L20" s="47"/>
      <c r="M20" s="19" t="str">
        <f>IF(E20="","",raw_data!F12)</f>
        <v/>
      </c>
      <c r="N20" s="20" t="str">
        <f t="shared" si="1"/>
        <v/>
      </c>
      <c r="O20" s="47"/>
      <c r="P20" s="47"/>
      <c r="Q20" s="47"/>
      <c r="R20" s="47"/>
      <c r="S20" s="41" t="str">
        <f t="shared" si="0"/>
        <v/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.75" x14ac:dyDescent="0.2">
      <c r="A21" s="9">
        <v>10012</v>
      </c>
      <c r="B21" s="9" t="s">
        <v>4</v>
      </c>
      <c r="C21" s="9" t="s">
        <v>167</v>
      </c>
      <c r="D21" s="23"/>
      <c r="E21" s="42"/>
      <c r="F21" s="43"/>
      <c r="G21" s="42"/>
      <c r="H21" s="43"/>
      <c r="I21" s="25" t="s">
        <v>4</v>
      </c>
      <c r="J21" s="34" t="str">
        <f>IF(E21="","",raw_data!C13)</f>
        <v/>
      </c>
      <c r="K21" s="46"/>
      <c r="L21" s="47"/>
      <c r="M21" s="19" t="str">
        <f>IF(E21="","",raw_data!F13)</f>
        <v/>
      </c>
      <c r="N21" s="20" t="str">
        <f t="shared" si="1"/>
        <v/>
      </c>
      <c r="O21" s="47"/>
      <c r="P21" s="47"/>
      <c r="Q21" s="47"/>
      <c r="R21" s="47"/>
      <c r="S21" s="41" t="str">
        <f t="shared" si="0"/>
        <v/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2.75" x14ac:dyDescent="0.2">
      <c r="A22" s="9">
        <v>10013</v>
      </c>
      <c r="B22" s="9" t="s">
        <v>4</v>
      </c>
      <c r="C22" s="9" t="s">
        <v>168</v>
      </c>
      <c r="D22" s="23"/>
      <c r="E22" s="42"/>
      <c r="F22" s="43"/>
      <c r="G22" s="42"/>
      <c r="H22" s="43"/>
      <c r="I22" s="25" t="s">
        <v>4</v>
      </c>
      <c r="J22" s="34" t="str">
        <f>IF(E22="","",raw_data!C14)</f>
        <v/>
      </c>
      <c r="K22" s="46"/>
      <c r="L22" s="47"/>
      <c r="M22" s="19" t="str">
        <f>IF(E22="","",raw_data!F14)</f>
        <v/>
      </c>
      <c r="N22" s="20" t="str">
        <f t="shared" si="1"/>
        <v/>
      </c>
      <c r="O22" s="47"/>
      <c r="P22" s="47"/>
      <c r="Q22" s="47"/>
      <c r="R22" s="47"/>
      <c r="S22" s="41" t="str">
        <f t="shared" si="0"/>
        <v/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2.75" x14ac:dyDescent="0.2">
      <c r="A23" s="9">
        <v>10014</v>
      </c>
      <c r="B23" s="9" t="s">
        <v>4</v>
      </c>
      <c r="C23" s="9" t="s">
        <v>9</v>
      </c>
      <c r="D23" s="23"/>
      <c r="E23" s="42"/>
      <c r="F23" s="43"/>
      <c r="G23" s="42"/>
      <c r="H23" s="43"/>
      <c r="I23" s="25" t="s">
        <v>4</v>
      </c>
      <c r="J23" s="34" t="str">
        <f>IF(E23="","",raw_data!C15)</f>
        <v/>
      </c>
      <c r="K23" s="46"/>
      <c r="L23" s="47"/>
      <c r="M23" s="19" t="str">
        <f>IF(E23="","",raw_data!F15)</f>
        <v/>
      </c>
      <c r="N23" s="20" t="str">
        <f t="shared" si="1"/>
        <v/>
      </c>
      <c r="O23" s="47"/>
      <c r="P23" s="47"/>
      <c r="Q23" s="47"/>
      <c r="R23" s="47"/>
      <c r="S23" s="41" t="str">
        <f t="shared" si="0"/>
        <v/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2.75" x14ac:dyDescent="0.2">
      <c r="A24" s="9" t="s">
        <v>381</v>
      </c>
      <c r="B24" s="9" t="s">
        <v>4</v>
      </c>
      <c r="C24" s="9" t="s">
        <v>10</v>
      </c>
      <c r="D24" s="23"/>
      <c r="E24" s="42"/>
      <c r="F24" s="43"/>
      <c r="G24" s="42"/>
      <c r="H24" s="43"/>
      <c r="I24" s="25" t="s">
        <v>4</v>
      </c>
      <c r="J24" s="34" t="str">
        <f>IF(E24="","",raw_data!C16)</f>
        <v/>
      </c>
      <c r="K24" s="46"/>
      <c r="L24" s="47"/>
      <c r="M24" s="19" t="str">
        <f>IF(E24="","",raw_data!F16)</f>
        <v/>
      </c>
      <c r="N24" s="20" t="str">
        <f t="shared" si="1"/>
        <v/>
      </c>
      <c r="O24" s="47"/>
      <c r="P24" s="47"/>
      <c r="Q24" s="47"/>
      <c r="R24" s="47"/>
      <c r="S24" s="41" t="str">
        <f t="shared" si="0"/>
        <v/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2.75" x14ac:dyDescent="0.2">
      <c r="A25" s="9" t="s">
        <v>382</v>
      </c>
      <c r="B25" s="9" t="s">
        <v>4</v>
      </c>
      <c r="C25" s="9" t="s">
        <v>10</v>
      </c>
      <c r="D25" s="23" t="s">
        <v>377</v>
      </c>
      <c r="E25" s="42"/>
      <c r="F25" s="43"/>
      <c r="G25" s="42"/>
      <c r="H25" s="43"/>
      <c r="I25" s="25" t="s">
        <v>4</v>
      </c>
      <c r="J25" s="34" t="str">
        <f>IF(E25="","",raw_data!C17)</f>
        <v/>
      </c>
      <c r="K25" s="46"/>
      <c r="L25" s="47"/>
      <c r="M25" s="19" t="str">
        <f>IF(E25="","",raw_data!F17)</f>
        <v/>
      </c>
      <c r="N25" s="20" t="str">
        <f t="shared" si="1"/>
        <v/>
      </c>
      <c r="O25" s="47"/>
      <c r="P25" s="47"/>
      <c r="Q25" s="47"/>
      <c r="R25" s="47"/>
      <c r="S25" s="41" t="str">
        <f t="shared" si="0"/>
        <v/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2.75" x14ac:dyDescent="0.2">
      <c r="A26" s="9">
        <v>10016</v>
      </c>
      <c r="B26" s="9" t="s">
        <v>4</v>
      </c>
      <c r="C26" s="9" t="s">
        <v>11</v>
      </c>
      <c r="D26" s="23"/>
      <c r="E26" s="42"/>
      <c r="F26" s="43"/>
      <c r="G26" s="42"/>
      <c r="H26" s="43"/>
      <c r="I26" s="25" t="s">
        <v>4</v>
      </c>
      <c r="J26" s="34" t="str">
        <f>IF(E26="","",raw_data!C18)</f>
        <v/>
      </c>
      <c r="K26" s="46"/>
      <c r="L26" s="47"/>
      <c r="M26" s="19" t="str">
        <f>IF(E26="","",raw_data!F18)</f>
        <v/>
      </c>
      <c r="N26" s="20" t="str">
        <f t="shared" si="1"/>
        <v/>
      </c>
      <c r="O26" s="47"/>
      <c r="P26" s="47"/>
      <c r="Q26" s="47"/>
      <c r="R26" s="47"/>
      <c r="S26" s="41" t="str">
        <f t="shared" si="0"/>
        <v/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2.75" customHeight="1" x14ac:dyDescent="0.2">
      <c r="A27" s="9">
        <v>10017</v>
      </c>
      <c r="B27" s="9" t="s">
        <v>4</v>
      </c>
      <c r="C27" s="9" t="s">
        <v>12</v>
      </c>
      <c r="D27" s="23"/>
      <c r="E27" s="42"/>
      <c r="F27" s="43"/>
      <c r="G27" s="42"/>
      <c r="H27" s="43"/>
      <c r="I27" s="25" t="s">
        <v>4</v>
      </c>
      <c r="J27" s="34" t="str">
        <f>IF(E27="","",raw_data!C19)</f>
        <v/>
      </c>
      <c r="K27" s="48"/>
      <c r="L27" s="49"/>
      <c r="M27" s="19" t="str">
        <f>IF(E27="","",raw_data!F19)</f>
        <v/>
      </c>
      <c r="N27" s="20" t="str">
        <f t="shared" si="1"/>
        <v/>
      </c>
      <c r="O27" s="49"/>
      <c r="P27" s="49"/>
      <c r="Q27" s="49"/>
      <c r="R27" s="49"/>
      <c r="S27" s="41" t="str">
        <f t="shared" si="0"/>
        <v/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2.75" customHeight="1" x14ac:dyDescent="0.2">
      <c r="A28" s="9">
        <v>11001</v>
      </c>
      <c r="B28" s="9" t="s">
        <v>32</v>
      </c>
      <c r="C28" s="9" t="s">
        <v>169</v>
      </c>
      <c r="D28" s="23"/>
      <c r="E28" s="28"/>
      <c r="F28" s="27"/>
      <c r="G28" s="30"/>
      <c r="H28" s="27"/>
      <c r="I28" s="25" t="s">
        <v>15</v>
      </c>
      <c r="J28" s="34" t="str">
        <f>IF(E28="","",raw_data!C20)</f>
        <v/>
      </c>
      <c r="K28" s="19" t="str">
        <f>IF(E28="","",raw_data!D20)</f>
        <v/>
      </c>
      <c r="L28" s="19" t="str">
        <f>IF(F28="","",raw_data!E20)</f>
        <v/>
      </c>
      <c r="M28" s="19" t="str">
        <f>IF(E28="","",raw_data!F20)</f>
        <v/>
      </c>
      <c r="N28" s="20" t="str">
        <f t="shared" si="1"/>
        <v/>
      </c>
      <c r="O28" s="19" t="str">
        <f>IF(E28="","",raw_data!G20)</f>
        <v/>
      </c>
      <c r="P28" s="20" t="str">
        <f>IF(E28="","",IFERROR(O28/K28,"-"))</f>
        <v/>
      </c>
      <c r="Q28" s="19" t="str">
        <f>IF(F28="","",raw_data!H20)</f>
        <v/>
      </c>
      <c r="R28" s="37" t="str">
        <f t="shared" ref="R28" si="2">IF(F28="","",IFERROR(Q28/L28,"-"))</f>
        <v/>
      </c>
      <c r="S28" s="41" t="str">
        <f t="shared" si="0"/>
        <v/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.75" customHeight="1" x14ac:dyDescent="0.2">
      <c r="A29" s="9" t="s">
        <v>384</v>
      </c>
      <c r="B29" s="9" t="s">
        <v>32</v>
      </c>
      <c r="C29" s="9" t="s">
        <v>31</v>
      </c>
      <c r="D29" s="23"/>
      <c r="E29" s="28">
        <v>0.9</v>
      </c>
      <c r="F29" s="27">
        <v>0.9</v>
      </c>
      <c r="G29" s="30" t="s">
        <v>155</v>
      </c>
      <c r="H29" s="27" t="s">
        <v>155</v>
      </c>
      <c r="I29" s="25" t="s">
        <v>15</v>
      </c>
      <c r="J29" s="34">
        <f>IF(E29="","",raw_data!C21)</f>
        <v>0</v>
      </c>
      <c r="K29" s="19">
        <f>IF(E29="","",raw_data!D21)</f>
        <v>0</v>
      </c>
      <c r="L29" s="19">
        <f>IF(F29="","",raw_data!E21)</f>
        <v>0</v>
      </c>
      <c r="M29" s="19">
        <f>IF(E29="","",raw_data!F21)</f>
        <v>0</v>
      </c>
      <c r="N29" s="20" t="str">
        <f t="shared" si="1"/>
        <v>-</v>
      </c>
      <c r="O29" s="19">
        <f>IF(E29="","",raw_data!G21)</f>
        <v>0</v>
      </c>
      <c r="P29" s="20" t="str">
        <f t="shared" ref="P29:P92" si="3">IF(E29="","",IFERROR(O29/K29,"-"))</f>
        <v>-</v>
      </c>
      <c r="Q29" s="19">
        <f>IF(F29="","",raw_data!H21)</f>
        <v>0</v>
      </c>
      <c r="R29" s="37" t="str">
        <f t="shared" ref="R29:R92" si="4">IF(F29="","",IFERROR(Q29/L29,"-"))</f>
        <v>-</v>
      </c>
      <c r="S29" s="41" t="str">
        <f t="shared" si="0"/>
        <v>erfüllt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2.75" customHeight="1" x14ac:dyDescent="0.2">
      <c r="A30" s="9" t="s">
        <v>383</v>
      </c>
      <c r="B30" s="9" t="s">
        <v>32</v>
      </c>
      <c r="C30" s="9" t="s">
        <v>31</v>
      </c>
      <c r="D30" s="23" t="s">
        <v>377</v>
      </c>
      <c r="E30" s="28"/>
      <c r="F30" s="27"/>
      <c r="G30" s="30"/>
      <c r="H30" s="27"/>
      <c r="I30" s="25" t="s">
        <v>15</v>
      </c>
      <c r="J30" s="34" t="str">
        <f>IF(E30="","",raw_data!C22)</f>
        <v/>
      </c>
      <c r="K30" s="19" t="str">
        <f>IF(E30="","",raw_data!D22)</f>
        <v/>
      </c>
      <c r="L30" s="19" t="str">
        <f>IF(F30="","",raw_data!E22)</f>
        <v/>
      </c>
      <c r="M30" s="19" t="str">
        <f>IF(E30="","",raw_data!F22)</f>
        <v/>
      </c>
      <c r="N30" s="20" t="str">
        <f t="shared" si="1"/>
        <v/>
      </c>
      <c r="O30" s="19" t="str">
        <f>IF(E30="","",raw_data!G22)</f>
        <v/>
      </c>
      <c r="P30" s="20" t="str">
        <f t="shared" si="3"/>
        <v/>
      </c>
      <c r="Q30" s="19" t="str">
        <f>IF(F30="","",raw_data!H22)</f>
        <v/>
      </c>
      <c r="R30" s="37" t="str">
        <f t="shared" si="4"/>
        <v/>
      </c>
      <c r="S30" s="41" t="str">
        <f t="shared" si="0"/>
        <v/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2.75" customHeight="1" x14ac:dyDescent="0.2">
      <c r="A31" s="9">
        <v>11003</v>
      </c>
      <c r="B31" s="9" t="s">
        <v>32</v>
      </c>
      <c r="C31" s="9" t="s">
        <v>33</v>
      </c>
      <c r="D31" s="23"/>
      <c r="E31" s="28"/>
      <c r="F31" s="27"/>
      <c r="G31" s="30"/>
      <c r="H31" s="27"/>
      <c r="I31" s="25" t="s">
        <v>15</v>
      </c>
      <c r="J31" s="34" t="str">
        <f>IF(E31="","",raw_data!C23)</f>
        <v/>
      </c>
      <c r="K31" s="19" t="str">
        <f>IF(E31="","",raw_data!D23)</f>
        <v/>
      </c>
      <c r="L31" s="19" t="str">
        <f>IF(F31="","",raw_data!E23)</f>
        <v/>
      </c>
      <c r="M31" s="19" t="str">
        <f>IF(E31="","",raw_data!F23)</f>
        <v/>
      </c>
      <c r="N31" s="20" t="str">
        <f t="shared" si="1"/>
        <v/>
      </c>
      <c r="O31" s="19" t="str">
        <f>IF(E31="","",raw_data!G23)</f>
        <v/>
      </c>
      <c r="P31" s="20" t="str">
        <f t="shared" si="3"/>
        <v/>
      </c>
      <c r="Q31" s="19" t="str">
        <f>IF(F31="","",raw_data!H23)</f>
        <v/>
      </c>
      <c r="R31" s="37" t="str">
        <f t="shared" si="4"/>
        <v/>
      </c>
      <c r="S31" s="41" t="str">
        <f t="shared" si="0"/>
        <v/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2.75" customHeight="1" x14ac:dyDescent="0.2">
      <c r="A32" s="9" t="s">
        <v>385</v>
      </c>
      <c r="B32" s="9" t="s">
        <v>32</v>
      </c>
      <c r="C32" s="9" t="s">
        <v>170</v>
      </c>
      <c r="D32" s="23"/>
      <c r="E32" s="28"/>
      <c r="F32" s="27"/>
      <c r="G32" s="30"/>
      <c r="H32" s="27"/>
      <c r="I32" s="25" t="s">
        <v>34</v>
      </c>
      <c r="J32" s="34" t="str">
        <f>IF(E32="","",raw_data!C24)</f>
        <v/>
      </c>
      <c r="K32" s="19" t="str">
        <f>IF(E32="","",raw_data!D24)</f>
        <v/>
      </c>
      <c r="L32" s="19" t="str">
        <f>IF(F32="","",raw_data!E24)</f>
        <v/>
      </c>
      <c r="M32" s="19" t="str">
        <f>IF(E32="","",raw_data!F24)</f>
        <v/>
      </c>
      <c r="N32" s="20" t="str">
        <f t="shared" si="1"/>
        <v/>
      </c>
      <c r="O32" s="19" t="str">
        <f>IF(E32="","",raw_data!G24)</f>
        <v/>
      </c>
      <c r="P32" s="20" t="str">
        <f t="shared" si="3"/>
        <v/>
      </c>
      <c r="Q32" s="19" t="str">
        <f>IF(F32="","",raw_data!H24)</f>
        <v/>
      </c>
      <c r="R32" s="37" t="str">
        <f t="shared" si="4"/>
        <v/>
      </c>
      <c r="S32" s="41" t="str">
        <f t="shared" si="0"/>
        <v/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2.75" customHeight="1" x14ac:dyDescent="0.2">
      <c r="A33" s="9" t="s">
        <v>386</v>
      </c>
      <c r="B33" s="9" t="s">
        <v>32</v>
      </c>
      <c r="C33" s="9" t="s">
        <v>170</v>
      </c>
      <c r="D33" s="23" t="s">
        <v>377</v>
      </c>
      <c r="E33" s="28"/>
      <c r="F33" s="27"/>
      <c r="G33" s="30"/>
      <c r="H33" s="27"/>
      <c r="I33" s="25" t="s">
        <v>34</v>
      </c>
      <c r="J33" s="34" t="str">
        <f>IF(E33="","",raw_data!C25)</f>
        <v/>
      </c>
      <c r="K33" s="19" t="str">
        <f>IF(E33="","",raw_data!D25)</f>
        <v/>
      </c>
      <c r="L33" s="19" t="str">
        <f>IF(F33="","",raw_data!E25)</f>
        <v/>
      </c>
      <c r="M33" s="19" t="str">
        <f>IF(E33="","",raw_data!F25)</f>
        <v/>
      </c>
      <c r="N33" s="20" t="str">
        <f t="shared" si="1"/>
        <v/>
      </c>
      <c r="O33" s="19" t="str">
        <f>IF(E33="","",raw_data!G25)</f>
        <v/>
      </c>
      <c r="P33" s="20" t="str">
        <f t="shared" si="3"/>
        <v/>
      </c>
      <c r="Q33" s="19" t="str">
        <f>IF(F33="","",raw_data!H25)</f>
        <v/>
      </c>
      <c r="R33" s="37" t="str">
        <f t="shared" si="4"/>
        <v/>
      </c>
      <c r="S33" s="41" t="str">
        <f t="shared" si="0"/>
        <v/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.75" customHeight="1" x14ac:dyDescent="0.2">
      <c r="A34" s="9">
        <v>11005</v>
      </c>
      <c r="B34" s="9" t="s">
        <v>32</v>
      </c>
      <c r="C34" s="9" t="s">
        <v>19</v>
      </c>
      <c r="D34" s="23"/>
      <c r="E34" s="28"/>
      <c r="F34" s="27"/>
      <c r="G34" s="30"/>
      <c r="H34" s="27"/>
      <c r="I34" s="25" t="s">
        <v>15</v>
      </c>
      <c r="J34" s="34" t="str">
        <f>IF(E34="","",raw_data!C26)</f>
        <v/>
      </c>
      <c r="K34" s="19" t="str">
        <f>IF(E34="","",raw_data!D26)</f>
        <v/>
      </c>
      <c r="L34" s="19" t="str">
        <f>IF(F34="","",raw_data!E26)</f>
        <v/>
      </c>
      <c r="M34" s="19" t="str">
        <f>IF(E34="","",raw_data!F26)</f>
        <v/>
      </c>
      <c r="N34" s="20" t="str">
        <f t="shared" si="1"/>
        <v/>
      </c>
      <c r="O34" s="19" t="str">
        <f>IF(E34="","",raw_data!G26)</f>
        <v/>
      </c>
      <c r="P34" s="20" t="str">
        <f t="shared" si="3"/>
        <v/>
      </c>
      <c r="Q34" s="19" t="str">
        <f>IF(F34="","",raw_data!H26)</f>
        <v/>
      </c>
      <c r="R34" s="37" t="str">
        <f t="shared" si="4"/>
        <v/>
      </c>
      <c r="S34" s="41" t="str">
        <f t="shared" si="0"/>
        <v/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2.75" customHeight="1" x14ac:dyDescent="0.2">
      <c r="A35" s="9">
        <v>11006</v>
      </c>
      <c r="B35" s="9" t="s">
        <v>32</v>
      </c>
      <c r="C35" s="9" t="s">
        <v>171</v>
      </c>
      <c r="D35" s="23"/>
      <c r="E35" s="28"/>
      <c r="F35" s="27"/>
      <c r="G35" s="30"/>
      <c r="H35" s="27"/>
      <c r="I35" s="25" t="s">
        <v>15</v>
      </c>
      <c r="J35" s="34" t="str">
        <f>IF(E35="","",raw_data!C27)</f>
        <v/>
      </c>
      <c r="K35" s="19" t="str">
        <f>IF(E35="","",raw_data!D27)</f>
        <v/>
      </c>
      <c r="L35" s="19" t="str">
        <f>IF(F35="","",raw_data!E27)</f>
        <v/>
      </c>
      <c r="M35" s="19" t="str">
        <f>IF(E35="","",raw_data!F27)</f>
        <v/>
      </c>
      <c r="N35" s="20" t="str">
        <f t="shared" si="1"/>
        <v/>
      </c>
      <c r="O35" s="19" t="str">
        <f>IF(E35="","",raw_data!G27)</f>
        <v/>
      </c>
      <c r="P35" s="20" t="str">
        <f t="shared" si="3"/>
        <v/>
      </c>
      <c r="Q35" s="19" t="str">
        <f>IF(F35="","",raw_data!H27)</f>
        <v/>
      </c>
      <c r="R35" s="37" t="str">
        <f t="shared" si="4"/>
        <v/>
      </c>
      <c r="S35" s="41" t="str">
        <f t="shared" si="0"/>
        <v/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2.75" customHeight="1" x14ac:dyDescent="0.2">
      <c r="A36" s="9" t="s">
        <v>389</v>
      </c>
      <c r="B36" s="9" t="s">
        <v>32</v>
      </c>
      <c r="C36" s="9" t="s">
        <v>6</v>
      </c>
      <c r="D36" s="23"/>
      <c r="E36" s="28"/>
      <c r="F36" s="27"/>
      <c r="G36" s="30"/>
      <c r="H36" s="27"/>
      <c r="I36" s="25" t="s">
        <v>15</v>
      </c>
      <c r="J36" s="34" t="str">
        <f>IF(E36="","",raw_data!C28)</f>
        <v/>
      </c>
      <c r="K36" s="19" t="str">
        <f>IF(E36="","",raw_data!D28)</f>
        <v/>
      </c>
      <c r="L36" s="19" t="str">
        <f>IF(F36="","",raw_data!E28)</f>
        <v/>
      </c>
      <c r="M36" s="19" t="str">
        <f>IF(E36="","",raw_data!F28)</f>
        <v/>
      </c>
      <c r="N36" s="20" t="str">
        <f t="shared" si="1"/>
        <v/>
      </c>
      <c r="O36" s="19" t="str">
        <f>IF(E36="","",raw_data!G28)</f>
        <v/>
      </c>
      <c r="P36" s="20" t="str">
        <f t="shared" si="3"/>
        <v/>
      </c>
      <c r="Q36" s="19" t="str">
        <f>IF(F36="","",raw_data!H28)</f>
        <v/>
      </c>
      <c r="R36" s="37" t="str">
        <f t="shared" si="4"/>
        <v/>
      </c>
      <c r="S36" s="41" t="str">
        <f t="shared" si="0"/>
        <v/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2.75" customHeight="1" x14ac:dyDescent="0.2">
      <c r="A37" s="9" t="s">
        <v>388</v>
      </c>
      <c r="B37" s="9" t="s">
        <v>32</v>
      </c>
      <c r="C37" s="9" t="s">
        <v>6</v>
      </c>
      <c r="D37" s="23" t="s">
        <v>146</v>
      </c>
      <c r="E37" s="28">
        <v>1</v>
      </c>
      <c r="F37" s="27">
        <v>1</v>
      </c>
      <c r="G37" s="30" t="s">
        <v>155</v>
      </c>
      <c r="H37" s="27" t="s">
        <v>155</v>
      </c>
      <c r="I37" s="25" t="s">
        <v>15</v>
      </c>
      <c r="J37" s="34">
        <f>IF(E37="","",raw_data!C29)</f>
        <v>0</v>
      </c>
      <c r="K37" s="19">
        <f>IF(E37="","",raw_data!D29)</f>
        <v>0</v>
      </c>
      <c r="L37" s="19">
        <f>IF(F37="","",raw_data!E29)</f>
        <v>0</v>
      </c>
      <c r="M37" s="19">
        <f>IF(E37="","",raw_data!F29)</f>
        <v>0</v>
      </c>
      <c r="N37" s="20" t="str">
        <f t="shared" si="1"/>
        <v>-</v>
      </c>
      <c r="O37" s="19">
        <f>IF(E37="","",raw_data!G29)</f>
        <v>0</v>
      </c>
      <c r="P37" s="20" t="str">
        <f t="shared" si="3"/>
        <v>-</v>
      </c>
      <c r="Q37" s="19">
        <f>IF(F37="","",raw_data!H29)</f>
        <v>0</v>
      </c>
      <c r="R37" s="37" t="str">
        <f t="shared" si="4"/>
        <v>-</v>
      </c>
      <c r="S37" s="41" t="str">
        <f t="shared" si="0"/>
        <v>erfüllt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2.75" customHeight="1" x14ac:dyDescent="0.2">
      <c r="A38" s="9">
        <v>11008</v>
      </c>
      <c r="B38" s="9" t="s">
        <v>32</v>
      </c>
      <c r="C38" s="9" t="s">
        <v>160</v>
      </c>
      <c r="D38" s="23"/>
      <c r="E38" s="28"/>
      <c r="F38" s="27"/>
      <c r="G38" s="30"/>
      <c r="H38" s="27"/>
      <c r="I38" s="25" t="s">
        <v>15</v>
      </c>
      <c r="J38" s="34" t="str">
        <f>IF(E38="","",raw_data!C30)</f>
        <v/>
      </c>
      <c r="K38" s="19" t="str">
        <f>IF(E38="","",raw_data!D30)</f>
        <v/>
      </c>
      <c r="L38" s="19" t="str">
        <f>IF(F38="","",raw_data!E30)</f>
        <v/>
      </c>
      <c r="M38" s="19" t="str">
        <f>IF(E38="","",raw_data!F30)</f>
        <v/>
      </c>
      <c r="N38" s="20" t="str">
        <f t="shared" si="1"/>
        <v/>
      </c>
      <c r="O38" s="19" t="str">
        <f>IF(E38="","",raw_data!G30)</f>
        <v/>
      </c>
      <c r="P38" s="20" t="str">
        <f t="shared" si="3"/>
        <v/>
      </c>
      <c r="Q38" s="19" t="str">
        <f>IF(F38="","",raw_data!H30)</f>
        <v/>
      </c>
      <c r="R38" s="37" t="str">
        <f t="shared" si="4"/>
        <v/>
      </c>
      <c r="S38" s="41" t="str">
        <f t="shared" si="0"/>
        <v/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2.75" customHeight="1" x14ac:dyDescent="0.2">
      <c r="A39" s="9">
        <v>11009</v>
      </c>
      <c r="B39" s="9" t="s">
        <v>32</v>
      </c>
      <c r="C39" s="9" t="s">
        <v>161</v>
      </c>
      <c r="D39" s="23"/>
      <c r="E39" s="28"/>
      <c r="F39" s="27"/>
      <c r="G39" s="30"/>
      <c r="H39" s="27"/>
      <c r="I39" s="25" t="s">
        <v>15</v>
      </c>
      <c r="J39" s="34" t="str">
        <f>IF(E39="","",raw_data!C31)</f>
        <v/>
      </c>
      <c r="K39" s="19" t="str">
        <f>IF(E39="","",raw_data!D31)</f>
        <v/>
      </c>
      <c r="L39" s="19" t="str">
        <f>IF(F39="","",raw_data!E31)</f>
        <v/>
      </c>
      <c r="M39" s="19" t="str">
        <f>IF(E39="","",raw_data!F31)</f>
        <v/>
      </c>
      <c r="N39" s="20" t="str">
        <f t="shared" si="1"/>
        <v/>
      </c>
      <c r="O39" s="19" t="str">
        <f>IF(E39="","",raw_data!G31)</f>
        <v/>
      </c>
      <c r="P39" s="20" t="str">
        <f t="shared" si="3"/>
        <v/>
      </c>
      <c r="Q39" s="19" t="str">
        <f>IF(F39="","",raw_data!H31)</f>
        <v/>
      </c>
      <c r="R39" s="37" t="str">
        <f t="shared" si="4"/>
        <v/>
      </c>
      <c r="S39" s="41" t="str">
        <f t="shared" si="0"/>
        <v/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2.75" customHeight="1" x14ac:dyDescent="0.2">
      <c r="A40" s="9">
        <v>11010</v>
      </c>
      <c r="B40" s="9" t="s">
        <v>32</v>
      </c>
      <c r="C40" s="9" t="s">
        <v>35</v>
      </c>
      <c r="D40" s="23"/>
      <c r="E40" s="28"/>
      <c r="F40" s="27"/>
      <c r="G40" s="30"/>
      <c r="H40" s="27"/>
      <c r="I40" s="25" t="s">
        <v>30</v>
      </c>
      <c r="J40" s="34" t="str">
        <f>IF(E40="","",raw_data!C32)</f>
        <v/>
      </c>
      <c r="K40" s="19" t="str">
        <f>IF(E40="","",raw_data!D32)</f>
        <v/>
      </c>
      <c r="L40" s="19" t="str">
        <f>IF(F40="","",raw_data!E32)</f>
        <v/>
      </c>
      <c r="M40" s="19" t="str">
        <f>IF(E40="","",raw_data!F32)</f>
        <v/>
      </c>
      <c r="N40" s="20" t="str">
        <f t="shared" si="1"/>
        <v/>
      </c>
      <c r="O40" s="19" t="str">
        <f>IF(E40="","",raw_data!G32)</f>
        <v/>
      </c>
      <c r="P40" s="20" t="str">
        <f t="shared" si="3"/>
        <v/>
      </c>
      <c r="Q40" s="19" t="str">
        <f>IF(F40="","",raw_data!H32)</f>
        <v/>
      </c>
      <c r="R40" s="37" t="str">
        <f t="shared" si="4"/>
        <v/>
      </c>
      <c r="S40" s="41" t="str">
        <f t="shared" si="0"/>
        <v/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2.75" customHeight="1" x14ac:dyDescent="0.2">
      <c r="A41" s="9">
        <v>11011</v>
      </c>
      <c r="B41" s="9" t="s">
        <v>32</v>
      </c>
      <c r="C41" s="9" t="s">
        <v>36</v>
      </c>
      <c r="D41" s="23"/>
      <c r="E41" s="28"/>
      <c r="F41" s="27"/>
      <c r="G41" s="30"/>
      <c r="H41" s="27"/>
      <c r="I41" s="25" t="s">
        <v>15</v>
      </c>
      <c r="J41" s="34" t="str">
        <f>IF(E41="","",raw_data!C33)</f>
        <v/>
      </c>
      <c r="K41" s="19" t="str">
        <f>IF(E41="","",raw_data!D33)</f>
        <v/>
      </c>
      <c r="L41" s="19" t="str">
        <f>IF(F41="","",raw_data!E33)</f>
        <v/>
      </c>
      <c r="M41" s="19" t="str">
        <f>IF(E41="","",raw_data!F33)</f>
        <v/>
      </c>
      <c r="N41" s="20" t="str">
        <f t="shared" si="1"/>
        <v/>
      </c>
      <c r="O41" s="19" t="str">
        <f>IF(E41="","",raw_data!G33)</f>
        <v/>
      </c>
      <c r="P41" s="20" t="str">
        <f t="shared" si="3"/>
        <v/>
      </c>
      <c r="Q41" s="19" t="str">
        <f>IF(F41="","",raw_data!H33)</f>
        <v/>
      </c>
      <c r="R41" s="37" t="str">
        <f t="shared" si="4"/>
        <v/>
      </c>
      <c r="S41" s="41" t="str">
        <f t="shared" si="0"/>
        <v/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2.75" customHeight="1" x14ac:dyDescent="0.2">
      <c r="A42" s="9">
        <v>11012</v>
      </c>
      <c r="B42" s="9" t="s">
        <v>32</v>
      </c>
      <c r="C42" s="9" t="s">
        <v>37</v>
      </c>
      <c r="D42" s="23"/>
      <c r="E42" s="28"/>
      <c r="F42" s="27"/>
      <c r="G42" s="30"/>
      <c r="H42" s="27"/>
      <c r="I42" s="25" t="s">
        <v>15</v>
      </c>
      <c r="J42" s="34" t="str">
        <f>IF(E42="","",raw_data!C34)</f>
        <v/>
      </c>
      <c r="K42" s="19" t="str">
        <f>IF(E42="","",raw_data!D34)</f>
        <v/>
      </c>
      <c r="L42" s="19" t="str">
        <f>IF(F42="","",raw_data!E34)</f>
        <v/>
      </c>
      <c r="M42" s="19" t="str">
        <f>IF(E42="","",raw_data!F34)</f>
        <v/>
      </c>
      <c r="N42" s="20" t="str">
        <f t="shared" si="1"/>
        <v/>
      </c>
      <c r="O42" s="19" t="str">
        <f>IF(E42="","",raw_data!G34)</f>
        <v/>
      </c>
      <c r="P42" s="20" t="str">
        <f t="shared" si="3"/>
        <v/>
      </c>
      <c r="Q42" s="19" t="str">
        <f>IF(F42="","",raw_data!H34)</f>
        <v/>
      </c>
      <c r="R42" s="37" t="str">
        <f t="shared" si="4"/>
        <v/>
      </c>
      <c r="S42" s="41" t="str">
        <f t="shared" si="0"/>
        <v/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2.75" customHeight="1" x14ac:dyDescent="0.2">
      <c r="A43" s="9">
        <v>11013</v>
      </c>
      <c r="B43" s="9" t="s">
        <v>32</v>
      </c>
      <c r="C43" s="9" t="s">
        <v>38</v>
      </c>
      <c r="D43" s="23"/>
      <c r="E43" s="28"/>
      <c r="F43" s="27"/>
      <c r="G43" s="30"/>
      <c r="H43" s="27"/>
      <c r="I43" s="25" t="s">
        <v>15</v>
      </c>
      <c r="J43" s="34" t="str">
        <f>IF(E43="","",raw_data!C35)</f>
        <v/>
      </c>
      <c r="K43" s="19" t="str">
        <f>IF(E43="","",raw_data!D35)</f>
        <v/>
      </c>
      <c r="L43" s="19" t="str">
        <f>IF(F43="","",raw_data!E35)</f>
        <v/>
      </c>
      <c r="M43" s="19" t="str">
        <f>IF(E43="","",raw_data!F35)</f>
        <v/>
      </c>
      <c r="N43" s="20" t="str">
        <f t="shared" si="1"/>
        <v/>
      </c>
      <c r="O43" s="19" t="str">
        <f>IF(E43="","",raw_data!G35)</f>
        <v/>
      </c>
      <c r="P43" s="20" t="str">
        <f t="shared" si="3"/>
        <v/>
      </c>
      <c r="Q43" s="19" t="str">
        <f>IF(F43="","",raw_data!H35)</f>
        <v/>
      </c>
      <c r="R43" s="37" t="str">
        <f t="shared" si="4"/>
        <v/>
      </c>
      <c r="S43" s="41" t="str">
        <f t="shared" si="0"/>
        <v/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2.75" customHeight="1" x14ac:dyDescent="0.2">
      <c r="A44" s="9">
        <v>11014</v>
      </c>
      <c r="B44" s="9" t="s">
        <v>32</v>
      </c>
      <c r="C44" s="9" t="s">
        <v>365</v>
      </c>
      <c r="D44" s="23"/>
      <c r="E44" s="28"/>
      <c r="F44" s="27"/>
      <c r="G44" s="30"/>
      <c r="H44" s="27"/>
      <c r="I44" s="25" t="s">
        <v>15</v>
      </c>
      <c r="J44" s="34" t="str">
        <f>IF(E44="","",raw_data!C36)</f>
        <v/>
      </c>
      <c r="K44" s="19" t="str">
        <f>IF(E44="","",raw_data!D36)</f>
        <v/>
      </c>
      <c r="L44" s="19" t="str">
        <f>IF(F44="","",raw_data!E36)</f>
        <v/>
      </c>
      <c r="M44" s="19" t="str">
        <f>IF(E44="","",raw_data!F36)</f>
        <v/>
      </c>
      <c r="N44" s="20" t="str">
        <f t="shared" si="1"/>
        <v/>
      </c>
      <c r="O44" s="19" t="str">
        <f>IF(E44="","",raw_data!G36)</f>
        <v/>
      </c>
      <c r="P44" s="20" t="str">
        <f t="shared" si="3"/>
        <v/>
      </c>
      <c r="Q44" s="19" t="str">
        <f>IF(F44="","",raw_data!H36)</f>
        <v/>
      </c>
      <c r="R44" s="37" t="str">
        <f t="shared" si="4"/>
        <v/>
      </c>
      <c r="S44" s="41" t="str">
        <f t="shared" si="0"/>
        <v/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2.75" customHeight="1" x14ac:dyDescent="0.2">
      <c r="A45" s="9">
        <v>11015</v>
      </c>
      <c r="B45" s="9" t="s">
        <v>32</v>
      </c>
      <c r="C45" s="9" t="s">
        <v>172</v>
      </c>
      <c r="D45" s="23"/>
      <c r="E45" s="28">
        <v>1</v>
      </c>
      <c r="F45" s="27">
        <v>1</v>
      </c>
      <c r="G45" s="30" t="s">
        <v>155</v>
      </c>
      <c r="H45" s="27" t="s">
        <v>155</v>
      </c>
      <c r="I45" s="25" t="s">
        <v>15</v>
      </c>
      <c r="J45" s="34">
        <f>IF(E45="","",raw_data!C37)</f>
        <v>0</v>
      </c>
      <c r="K45" s="19">
        <f>IF(E45="","",raw_data!D37)</f>
        <v>0</v>
      </c>
      <c r="L45" s="19">
        <f>IF(F45="","",raw_data!E37)</f>
        <v>0</v>
      </c>
      <c r="M45" s="19">
        <f>IF(E45="","",raw_data!F37)</f>
        <v>0</v>
      </c>
      <c r="N45" s="20" t="str">
        <f t="shared" si="1"/>
        <v>-</v>
      </c>
      <c r="O45" s="19">
        <f>IF(E45="","",raw_data!G37)</f>
        <v>0</v>
      </c>
      <c r="P45" s="20" t="str">
        <f t="shared" si="3"/>
        <v>-</v>
      </c>
      <c r="Q45" s="19">
        <f>IF(F45="","",raw_data!H37)</f>
        <v>0</v>
      </c>
      <c r="R45" s="37" t="str">
        <f t="shared" si="4"/>
        <v>-</v>
      </c>
      <c r="S45" s="41" t="str">
        <f t="shared" si="0"/>
        <v>erfüllt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2.75" customHeight="1" x14ac:dyDescent="0.2">
      <c r="A46" s="9" t="s">
        <v>390</v>
      </c>
      <c r="B46" s="9" t="s">
        <v>32</v>
      </c>
      <c r="C46" s="9" t="s">
        <v>39</v>
      </c>
      <c r="D46" s="23"/>
      <c r="E46" s="28">
        <v>0.8</v>
      </c>
      <c r="F46" s="27">
        <v>0.8</v>
      </c>
      <c r="G46" s="30" t="s">
        <v>155</v>
      </c>
      <c r="H46" s="27" t="s">
        <v>155</v>
      </c>
      <c r="I46" s="25" t="s">
        <v>15</v>
      </c>
      <c r="J46" s="34">
        <f>IF(E46="","",raw_data!C38)</f>
        <v>0</v>
      </c>
      <c r="K46" s="19">
        <f>IF(E46="","",raw_data!D38)</f>
        <v>0</v>
      </c>
      <c r="L46" s="19">
        <f>IF(F46="","",raw_data!E38)</f>
        <v>0</v>
      </c>
      <c r="M46" s="19">
        <f>IF(E46="","",raw_data!F38)</f>
        <v>0</v>
      </c>
      <c r="N46" s="20" t="str">
        <f t="shared" si="1"/>
        <v>-</v>
      </c>
      <c r="O46" s="19">
        <f>IF(E46="","",raw_data!G38)</f>
        <v>0</v>
      </c>
      <c r="P46" s="20" t="str">
        <f t="shared" si="3"/>
        <v>-</v>
      </c>
      <c r="Q46" s="19">
        <f>IF(F46="","",raw_data!H38)</f>
        <v>0</v>
      </c>
      <c r="R46" s="37" t="str">
        <f t="shared" si="4"/>
        <v>-</v>
      </c>
      <c r="S46" s="41" t="str">
        <f t="shared" si="0"/>
        <v>erfüllt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2.75" customHeight="1" x14ac:dyDescent="0.2">
      <c r="A47" s="9" t="s">
        <v>391</v>
      </c>
      <c r="B47" s="9" t="s">
        <v>32</v>
      </c>
      <c r="C47" s="9" t="s">
        <v>39</v>
      </c>
      <c r="D47" s="23" t="s">
        <v>377</v>
      </c>
      <c r="E47" s="28"/>
      <c r="F47" s="27"/>
      <c r="G47" s="30"/>
      <c r="H47" s="27"/>
      <c r="I47" s="25" t="s">
        <v>15</v>
      </c>
      <c r="J47" s="34" t="str">
        <f>IF(E47="","",raw_data!C39)</f>
        <v/>
      </c>
      <c r="K47" s="19" t="str">
        <f>IF(E47="","",raw_data!D39)</f>
        <v/>
      </c>
      <c r="L47" s="19" t="str">
        <f>IF(F47="","",raw_data!E39)</f>
        <v/>
      </c>
      <c r="M47" s="19" t="str">
        <f>IF(E47="","",raw_data!F39)</f>
        <v/>
      </c>
      <c r="N47" s="20" t="str">
        <f t="shared" si="1"/>
        <v/>
      </c>
      <c r="O47" s="19" t="str">
        <f>IF(E47="","",raw_data!G39)</f>
        <v/>
      </c>
      <c r="P47" s="20" t="str">
        <f t="shared" si="3"/>
        <v/>
      </c>
      <c r="Q47" s="19" t="str">
        <f>IF(F47="","",raw_data!H39)</f>
        <v/>
      </c>
      <c r="R47" s="37" t="str">
        <f t="shared" si="4"/>
        <v/>
      </c>
      <c r="S47" s="41" t="str">
        <f t="shared" si="0"/>
        <v/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2.75" customHeight="1" x14ac:dyDescent="0.2">
      <c r="A48" s="9" t="s">
        <v>392</v>
      </c>
      <c r="B48" s="9" t="s">
        <v>32</v>
      </c>
      <c r="C48" s="9" t="s">
        <v>173</v>
      </c>
      <c r="D48" s="23"/>
      <c r="E48" s="28">
        <v>1</v>
      </c>
      <c r="F48" s="27">
        <v>1</v>
      </c>
      <c r="G48" s="30" t="s">
        <v>155</v>
      </c>
      <c r="H48" s="27" t="s">
        <v>155</v>
      </c>
      <c r="I48" s="25" t="s">
        <v>15</v>
      </c>
      <c r="J48" s="34">
        <f>IF(E48="","",raw_data!C40)</f>
        <v>0</v>
      </c>
      <c r="K48" s="19">
        <f>IF(E48="","",raw_data!D40)</f>
        <v>0</v>
      </c>
      <c r="L48" s="19">
        <f>IF(F48="","",raw_data!E40)</f>
        <v>0</v>
      </c>
      <c r="M48" s="19">
        <f>IF(E48="","",raw_data!F40)</f>
        <v>0</v>
      </c>
      <c r="N48" s="20" t="str">
        <f t="shared" si="1"/>
        <v>-</v>
      </c>
      <c r="O48" s="19">
        <f>IF(E48="","",raw_data!G40)</f>
        <v>0</v>
      </c>
      <c r="P48" s="20" t="str">
        <f t="shared" si="3"/>
        <v>-</v>
      </c>
      <c r="Q48" s="19">
        <f>IF(F48="","",raw_data!H40)</f>
        <v>0</v>
      </c>
      <c r="R48" s="37" t="str">
        <f t="shared" si="4"/>
        <v>-</v>
      </c>
      <c r="S48" s="41" t="str">
        <f t="shared" si="0"/>
        <v>erfüllt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2.75" customHeight="1" x14ac:dyDescent="0.2">
      <c r="A49" s="9" t="s">
        <v>393</v>
      </c>
      <c r="B49" s="9" t="s">
        <v>32</v>
      </c>
      <c r="C49" s="9" t="s">
        <v>173</v>
      </c>
      <c r="D49" s="23" t="s">
        <v>377</v>
      </c>
      <c r="E49" s="28"/>
      <c r="F49" s="27"/>
      <c r="G49" s="30"/>
      <c r="H49" s="27"/>
      <c r="I49" s="25" t="s">
        <v>15</v>
      </c>
      <c r="J49" s="34" t="str">
        <f>IF(E49="","",raw_data!C41)</f>
        <v/>
      </c>
      <c r="K49" s="19" t="str">
        <f>IF(E49="","",raw_data!D41)</f>
        <v/>
      </c>
      <c r="L49" s="19" t="str">
        <f>IF(F49="","",raw_data!E41)</f>
        <v/>
      </c>
      <c r="M49" s="19" t="str">
        <f>IF(E49="","",raw_data!F41)</f>
        <v/>
      </c>
      <c r="N49" s="20" t="str">
        <f t="shared" si="1"/>
        <v/>
      </c>
      <c r="O49" s="19" t="str">
        <f>IF(E49="","",raw_data!G41)</f>
        <v/>
      </c>
      <c r="P49" s="20" t="str">
        <f t="shared" si="3"/>
        <v/>
      </c>
      <c r="Q49" s="19" t="str">
        <f>IF(F49="","",raw_data!H41)</f>
        <v/>
      </c>
      <c r="R49" s="37" t="str">
        <f t="shared" si="4"/>
        <v/>
      </c>
      <c r="S49" s="41" t="str">
        <f t="shared" si="0"/>
        <v/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2.75" customHeight="1" x14ac:dyDescent="0.2">
      <c r="A50" s="9">
        <v>11018</v>
      </c>
      <c r="B50" s="9" t="s">
        <v>32</v>
      </c>
      <c r="C50" s="9" t="s">
        <v>174</v>
      </c>
      <c r="D50" s="23"/>
      <c r="E50" s="28">
        <v>1</v>
      </c>
      <c r="F50" s="27">
        <v>1</v>
      </c>
      <c r="G50" s="30" t="s">
        <v>155</v>
      </c>
      <c r="H50" s="27" t="s">
        <v>155</v>
      </c>
      <c r="I50" s="25" t="s">
        <v>15</v>
      </c>
      <c r="J50" s="34">
        <f>IF(E50="","",raw_data!C42)</f>
        <v>0</v>
      </c>
      <c r="K50" s="19">
        <f>IF(E50="","",raw_data!D42)</f>
        <v>0</v>
      </c>
      <c r="L50" s="19">
        <f>IF(F50="","",raw_data!E42)</f>
        <v>0</v>
      </c>
      <c r="M50" s="19">
        <f>IF(E50="","",raw_data!F42)</f>
        <v>0</v>
      </c>
      <c r="N50" s="20" t="str">
        <f t="shared" si="1"/>
        <v>-</v>
      </c>
      <c r="O50" s="19">
        <f>IF(E50="","",raw_data!G42)</f>
        <v>0</v>
      </c>
      <c r="P50" s="20" t="str">
        <f t="shared" si="3"/>
        <v>-</v>
      </c>
      <c r="Q50" s="19">
        <f>IF(F50="","",raw_data!H42)</f>
        <v>0</v>
      </c>
      <c r="R50" s="37" t="str">
        <f t="shared" si="4"/>
        <v>-</v>
      </c>
      <c r="S50" s="41" t="str">
        <f t="shared" si="0"/>
        <v>erfüllt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2.75" customHeight="1" x14ac:dyDescent="0.2">
      <c r="A51" s="9">
        <v>11019</v>
      </c>
      <c r="B51" s="9" t="s">
        <v>32</v>
      </c>
      <c r="C51" s="9" t="s">
        <v>8</v>
      </c>
      <c r="D51" s="23"/>
      <c r="E51" s="28">
        <v>1</v>
      </c>
      <c r="F51" s="27">
        <v>1</v>
      </c>
      <c r="G51" s="30" t="s">
        <v>155</v>
      </c>
      <c r="H51" s="27" t="s">
        <v>155</v>
      </c>
      <c r="I51" s="25" t="s">
        <v>15</v>
      </c>
      <c r="J51" s="34">
        <f>IF(E51="","",raw_data!C43)</f>
        <v>0</v>
      </c>
      <c r="K51" s="19">
        <f>IF(E51="","",raw_data!D43)</f>
        <v>0</v>
      </c>
      <c r="L51" s="19">
        <f>IF(F51="","",raw_data!E43)</f>
        <v>0</v>
      </c>
      <c r="M51" s="19">
        <f>IF(E51="","",raw_data!F43)</f>
        <v>0</v>
      </c>
      <c r="N51" s="20" t="str">
        <f t="shared" si="1"/>
        <v>-</v>
      </c>
      <c r="O51" s="19">
        <f>IF(E51="","",raw_data!G43)</f>
        <v>0</v>
      </c>
      <c r="P51" s="20" t="str">
        <f t="shared" si="3"/>
        <v>-</v>
      </c>
      <c r="Q51" s="19">
        <f>IF(F51="","",raw_data!H43)</f>
        <v>0</v>
      </c>
      <c r="R51" s="37" t="str">
        <f t="shared" si="4"/>
        <v>-</v>
      </c>
      <c r="S51" s="41" t="str">
        <f t="shared" si="0"/>
        <v>erfüllt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2.75" customHeight="1" x14ac:dyDescent="0.2">
      <c r="A52" s="9">
        <v>11020</v>
      </c>
      <c r="B52" s="9" t="s">
        <v>32</v>
      </c>
      <c r="C52" s="9" t="s">
        <v>175</v>
      </c>
      <c r="D52" s="23"/>
      <c r="E52" s="28"/>
      <c r="F52" s="27"/>
      <c r="G52" s="30"/>
      <c r="H52" s="27"/>
      <c r="I52" s="25" t="s">
        <v>15</v>
      </c>
      <c r="J52" s="34" t="str">
        <f>IF(E52="","",raw_data!C44)</f>
        <v/>
      </c>
      <c r="K52" s="19" t="str">
        <f>IF(E52="","",raw_data!D44)</f>
        <v/>
      </c>
      <c r="L52" s="19" t="str">
        <f>IF(F52="","",raw_data!E44)</f>
        <v/>
      </c>
      <c r="M52" s="19" t="str">
        <f>IF(E52="","",raw_data!F44)</f>
        <v/>
      </c>
      <c r="N52" s="20" t="str">
        <f t="shared" si="1"/>
        <v/>
      </c>
      <c r="O52" s="19" t="str">
        <f>IF(E52="","",raw_data!G44)</f>
        <v/>
      </c>
      <c r="P52" s="20" t="str">
        <f t="shared" si="3"/>
        <v/>
      </c>
      <c r="Q52" s="19" t="str">
        <f>IF(F52="","",raw_data!H44)</f>
        <v/>
      </c>
      <c r="R52" s="37" t="str">
        <f t="shared" si="4"/>
        <v/>
      </c>
      <c r="S52" s="41" t="str">
        <f t="shared" si="0"/>
        <v/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2.75" customHeight="1" x14ac:dyDescent="0.2">
      <c r="A53" s="9">
        <v>11021</v>
      </c>
      <c r="B53" s="9" t="s">
        <v>32</v>
      </c>
      <c r="C53" s="9" t="s">
        <v>162</v>
      </c>
      <c r="D53" s="23"/>
      <c r="E53" s="28"/>
      <c r="F53" s="27"/>
      <c r="G53" s="30"/>
      <c r="H53" s="27"/>
      <c r="I53" s="25" t="s">
        <v>15</v>
      </c>
      <c r="J53" s="34" t="str">
        <f>IF(E53="","",raw_data!C45)</f>
        <v/>
      </c>
      <c r="K53" s="19" t="str">
        <f>IF(E53="","",raw_data!D45)</f>
        <v/>
      </c>
      <c r="L53" s="19" t="str">
        <f>IF(F53="","",raw_data!E45)</f>
        <v/>
      </c>
      <c r="M53" s="19" t="str">
        <f>IF(E53="","",raw_data!F45)</f>
        <v/>
      </c>
      <c r="N53" s="20" t="str">
        <f t="shared" si="1"/>
        <v/>
      </c>
      <c r="O53" s="19" t="str">
        <f>IF(E53="","",raw_data!G45)</f>
        <v/>
      </c>
      <c r="P53" s="20" t="str">
        <f t="shared" si="3"/>
        <v/>
      </c>
      <c r="Q53" s="19" t="str">
        <f>IF(F53="","",raw_data!H45)</f>
        <v/>
      </c>
      <c r="R53" s="37" t="str">
        <f t="shared" si="4"/>
        <v/>
      </c>
      <c r="S53" s="41" t="str">
        <f t="shared" si="0"/>
        <v/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2.75" customHeight="1" x14ac:dyDescent="0.2">
      <c r="A54" s="9" t="s">
        <v>394</v>
      </c>
      <c r="B54" s="9" t="s">
        <v>32</v>
      </c>
      <c r="C54" s="9" t="s">
        <v>176</v>
      </c>
      <c r="D54" s="23"/>
      <c r="E54" s="28"/>
      <c r="F54" s="27"/>
      <c r="G54" s="30"/>
      <c r="H54" s="27"/>
      <c r="I54" s="25" t="s">
        <v>15</v>
      </c>
      <c r="J54" s="34" t="str">
        <f>IF(E54="","",raw_data!C46)</f>
        <v/>
      </c>
      <c r="K54" s="19" t="str">
        <f>IF(E54="","",raw_data!D46)</f>
        <v/>
      </c>
      <c r="L54" s="19" t="str">
        <f>IF(F54="","",raw_data!E46)</f>
        <v/>
      </c>
      <c r="M54" s="19" t="str">
        <f>IF(E54="","",raw_data!F46)</f>
        <v/>
      </c>
      <c r="N54" s="20" t="str">
        <f t="shared" si="1"/>
        <v/>
      </c>
      <c r="O54" s="19" t="str">
        <f>IF(E54="","",raw_data!G46)</f>
        <v/>
      </c>
      <c r="P54" s="20" t="str">
        <f t="shared" si="3"/>
        <v/>
      </c>
      <c r="Q54" s="19" t="str">
        <f>IF(F54="","",raw_data!H46)</f>
        <v/>
      </c>
      <c r="R54" s="37" t="str">
        <f t="shared" si="4"/>
        <v/>
      </c>
      <c r="S54" s="41" t="str">
        <f t="shared" si="0"/>
        <v/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2.75" customHeight="1" x14ac:dyDescent="0.2">
      <c r="A55" s="9" t="s">
        <v>397</v>
      </c>
      <c r="B55" s="9" t="s">
        <v>32</v>
      </c>
      <c r="C55" s="9" t="s">
        <v>176</v>
      </c>
      <c r="D55" s="23" t="s">
        <v>377</v>
      </c>
      <c r="E55" s="28"/>
      <c r="F55" s="27"/>
      <c r="G55" s="30"/>
      <c r="H55" s="27"/>
      <c r="I55" s="25" t="s">
        <v>15</v>
      </c>
      <c r="J55" s="34" t="str">
        <f>IF(E55="","",raw_data!C47)</f>
        <v/>
      </c>
      <c r="K55" s="19" t="str">
        <f>IF(E55="","",raw_data!D47)</f>
        <v/>
      </c>
      <c r="L55" s="19" t="str">
        <f>IF(F55="","",raw_data!E47)</f>
        <v/>
      </c>
      <c r="M55" s="19" t="str">
        <f>IF(E55="","",raw_data!F47)</f>
        <v/>
      </c>
      <c r="N55" s="20" t="str">
        <f t="shared" si="1"/>
        <v/>
      </c>
      <c r="O55" s="19" t="str">
        <f>IF(E55="","",raw_data!G47)</f>
        <v/>
      </c>
      <c r="P55" s="20" t="str">
        <f t="shared" si="3"/>
        <v/>
      </c>
      <c r="Q55" s="19" t="str">
        <f>IF(F55="","",raw_data!H47)</f>
        <v/>
      </c>
      <c r="R55" s="37" t="str">
        <f t="shared" si="4"/>
        <v/>
      </c>
      <c r="S55" s="41" t="str">
        <f t="shared" si="0"/>
        <v/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2.75" customHeight="1" x14ac:dyDescent="0.2">
      <c r="A56" s="9" t="s">
        <v>395</v>
      </c>
      <c r="B56" s="9" t="s">
        <v>32</v>
      </c>
      <c r="C56" s="9" t="s">
        <v>40</v>
      </c>
      <c r="D56" s="23"/>
      <c r="E56" s="28"/>
      <c r="F56" s="27"/>
      <c r="G56" s="30"/>
      <c r="H56" s="27"/>
      <c r="I56" s="25" t="s">
        <v>15</v>
      </c>
      <c r="J56" s="34" t="str">
        <f>IF(E56="","",raw_data!C48)</f>
        <v/>
      </c>
      <c r="K56" s="19" t="str">
        <f>IF(E56="","",raw_data!D48)</f>
        <v/>
      </c>
      <c r="L56" s="19" t="str">
        <f>IF(F56="","",raw_data!E48)</f>
        <v/>
      </c>
      <c r="M56" s="19" t="str">
        <f>IF(E56="","",raw_data!F48)</f>
        <v/>
      </c>
      <c r="N56" s="20" t="str">
        <f t="shared" si="1"/>
        <v/>
      </c>
      <c r="O56" s="19" t="str">
        <f>IF(E56="","",raw_data!G48)</f>
        <v/>
      </c>
      <c r="P56" s="20" t="str">
        <f t="shared" si="3"/>
        <v/>
      </c>
      <c r="Q56" s="19" t="str">
        <f>IF(F56="","",raw_data!H48)</f>
        <v/>
      </c>
      <c r="R56" s="37" t="str">
        <f t="shared" si="4"/>
        <v/>
      </c>
      <c r="S56" s="41" t="str">
        <f t="shared" si="0"/>
        <v/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2.75" customHeight="1" x14ac:dyDescent="0.2">
      <c r="A57" s="9" t="s">
        <v>396</v>
      </c>
      <c r="B57" s="9" t="s">
        <v>32</v>
      </c>
      <c r="C57" s="9" t="s">
        <v>40</v>
      </c>
      <c r="D57" s="23" t="s">
        <v>377</v>
      </c>
      <c r="E57" s="28"/>
      <c r="F57" s="27"/>
      <c r="G57" s="30"/>
      <c r="H57" s="27"/>
      <c r="I57" s="25" t="s">
        <v>15</v>
      </c>
      <c r="J57" s="34" t="str">
        <f>IF(E57="","",raw_data!C49)</f>
        <v/>
      </c>
      <c r="K57" s="19" t="str">
        <f>IF(E57="","",raw_data!D49)</f>
        <v/>
      </c>
      <c r="L57" s="19" t="str">
        <f>IF(F57="","",raw_data!E49)</f>
        <v/>
      </c>
      <c r="M57" s="19" t="str">
        <f>IF(E57="","",raw_data!F49)</f>
        <v/>
      </c>
      <c r="N57" s="20" t="str">
        <f t="shared" si="1"/>
        <v/>
      </c>
      <c r="O57" s="19" t="str">
        <f>IF(E57="","",raw_data!G49)</f>
        <v/>
      </c>
      <c r="P57" s="20" t="str">
        <f t="shared" si="3"/>
        <v/>
      </c>
      <c r="Q57" s="19" t="str">
        <f>IF(F57="","",raw_data!H49)</f>
        <v/>
      </c>
      <c r="R57" s="37" t="str">
        <f t="shared" si="4"/>
        <v/>
      </c>
      <c r="S57" s="41" t="str">
        <f t="shared" si="0"/>
        <v/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2.75" customHeight="1" x14ac:dyDescent="0.2">
      <c r="A58" s="9">
        <v>11024</v>
      </c>
      <c r="B58" s="9" t="s">
        <v>32</v>
      </c>
      <c r="C58" s="9" t="s">
        <v>177</v>
      </c>
      <c r="D58" s="23"/>
      <c r="E58" s="28"/>
      <c r="F58" s="27"/>
      <c r="G58" s="30"/>
      <c r="H58" s="27"/>
      <c r="I58" s="25" t="s">
        <v>15</v>
      </c>
      <c r="J58" s="34" t="str">
        <f>IF(E58="","",raw_data!C50)</f>
        <v/>
      </c>
      <c r="K58" s="19" t="str">
        <f>IF(E58="","",raw_data!D50)</f>
        <v/>
      </c>
      <c r="L58" s="19" t="str">
        <f>IF(F58="","",raw_data!E50)</f>
        <v/>
      </c>
      <c r="M58" s="19" t="str">
        <f>IF(E58="","",raw_data!F50)</f>
        <v/>
      </c>
      <c r="N58" s="20" t="str">
        <f t="shared" si="1"/>
        <v/>
      </c>
      <c r="O58" s="19" t="str">
        <f>IF(E58="","",raw_data!G50)</f>
        <v/>
      </c>
      <c r="P58" s="20" t="str">
        <f t="shared" si="3"/>
        <v/>
      </c>
      <c r="Q58" s="19" t="str">
        <f>IF(F58="","",raw_data!H50)</f>
        <v/>
      </c>
      <c r="R58" s="37" t="str">
        <f t="shared" si="4"/>
        <v/>
      </c>
      <c r="S58" s="41" t="str">
        <f t="shared" si="0"/>
        <v/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2.75" customHeight="1" x14ac:dyDescent="0.2">
      <c r="A59" s="9">
        <v>11025</v>
      </c>
      <c r="B59" s="9" t="s">
        <v>32</v>
      </c>
      <c r="C59" s="9" t="s">
        <v>178</v>
      </c>
      <c r="D59" s="23"/>
      <c r="E59" s="28"/>
      <c r="F59" s="27"/>
      <c r="G59" s="30"/>
      <c r="H59" s="27"/>
      <c r="I59" s="25" t="s">
        <v>15</v>
      </c>
      <c r="J59" s="34" t="str">
        <f>IF(E59="","",raw_data!C51)</f>
        <v/>
      </c>
      <c r="K59" s="19" t="str">
        <f>IF(E59="","",raw_data!D51)</f>
        <v/>
      </c>
      <c r="L59" s="19" t="str">
        <f>IF(F59="","",raw_data!E51)</f>
        <v/>
      </c>
      <c r="M59" s="19" t="str">
        <f>IF(E59="","",raw_data!F51)</f>
        <v/>
      </c>
      <c r="N59" s="20" t="str">
        <f t="shared" si="1"/>
        <v/>
      </c>
      <c r="O59" s="19" t="str">
        <f>IF(E59="","",raw_data!G51)</f>
        <v/>
      </c>
      <c r="P59" s="20" t="str">
        <f t="shared" si="3"/>
        <v/>
      </c>
      <c r="Q59" s="19" t="str">
        <f>IF(F59="","",raw_data!H51)</f>
        <v/>
      </c>
      <c r="R59" s="37" t="str">
        <f t="shared" si="4"/>
        <v/>
      </c>
      <c r="S59" s="41" t="str">
        <f t="shared" si="0"/>
        <v/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2.75" customHeight="1" x14ac:dyDescent="0.2">
      <c r="A60" s="9">
        <v>11026</v>
      </c>
      <c r="B60" s="9" t="s">
        <v>32</v>
      </c>
      <c r="C60" s="9" t="s">
        <v>9</v>
      </c>
      <c r="D60" s="23"/>
      <c r="E60" s="28">
        <v>1</v>
      </c>
      <c r="F60" s="27">
        <v>1</v>
      </c>
      <c r="G60" s="30" t="s">
        <v>155</v>
      </c>
      <c r="H60" s="27" t="s">
        <v>155</v>
      </c>
      <c r="I60" s="25" t="s">
        <v>15</v>
      </c>
      <c r="J60" s="34">
        <f>IF(E60="","",raw_data!C52)</f>
        <v>0</v>
      </c>
      <c r="K60" s="19">
        <f>IF(E60="","",raw_data!D52)</f>
        <v>0</v>
      </c>
      <c r="L60" s="19">
        <f>IF(F60="","",raw_data!E52)</f>
        <v>0</v>
      </c>
      <c r="M60" s="19">
        <f>IF(E60="","",raw_data!F52)</f>
        <v>0</v>
      </c>
      <c r="N60" s="20" t="str">
        <f t="shared" si="1"/>
        <v>-</v>
      </c>
      <c r="O60" s="19">
        <f>IF(E60="","",raw_data!G52)</f>
        <v>0</v>
      </c>
      <c r="P60" s="20" t="str">
        <f t="shared" si="3"/>
        <v>-</v>
      </c>
      <c r="Q60" s="19">
        <f>IF(F60="","",raw_data!H52)</f>
        <v>0</v>
      </c>
      <c r="R60" s="37" t="str">
        <f t="shared" si="4"/>
        <v>-</v>
      </c>
      <c r="S60" s="41" t="str">
        <f t="shared" si="0"/>
        <v>erfüllt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2.75" customHeight="1" x14ac:dyDescent="0.2">
      <c r="A61" s="9">
        <v>11027</v>
      </c>
      <c r="B61" s="9" t="s">
        <v>32</v>
      </c>
      <c r="C61" s="9" t="s">
        <v>41</v>
      </c>
      <c r="D61" s="23"/>
      <c r="E61" s="28"/>
      <c r="F61" s="27"/>
      <c r="G61" s="30"/>
      <c r="H61" s="27"/>
      <c r="I61" s="25" t="s">
        <v>30</v>
      </c>
      <c r="J61" s="34" t="str">
        <f>IF(E61="","",raw_data!C53)</f>
        <v/>
      </c>
      <c r="K61" s="19" t="str">
        <f>IF(E61="","",raw_data!D53)</f>
        <v/>
      </c>
      <c r="L61" s="19" t="str">
        <f>IF(F61="","",raw_data!E53)</f>
        <v/>
      </c>
      <c r="M61" s="19" t="str">
        <f>IF(E61="","",raw_data!F53)</f>
        <v/>
      </c>
      <c r="N61" s="20" t="str">
        <f t="shared" si="1"/>
        <v/>
      </c>
      <c r="O61" s="19" t="str">
        <f>IF(E61="","",raw_data!G53)</f>
        <v/>
      </c>
      <c r="P61" s="20" t="str">
        <f t="shared" si="3"/>
        <v/>
      </c>
      <c r="Q61" s="19" t="str">
        <f>IF(F61="","",raw_data!H53)</f>
        <v/>
      </c>
      <c r="R61" s="37" t="str">
        <f t="shared" si="4"/>
        <v/>
      </c>
      <c r="S61" s="41" t="str">
        <f t="shared" si="0"/>
        <v/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2.75" customHeight="1" x14ac:dyDescent="0.2">
      <c r="A62" s="9">
        <v>11028</v>
      </c>
      <c r="B62" s="9" t="s">
        <v>32</v>
      </c>
      <c r="C62" s="9" t="s">
        <v>10</v>
      </c>
      <c r="D62" s="23"/>
      <c r="E62" s="28"/>
      <c r="F62" s="27"/>
      <c r="G62" s="30"/>
      <c r="H62" s="27"/>
      <c r="I62" s="25" t="s">
        <v>34</v>
      </c>
      <c r="J62" s="34" t="str">
        <f>IF(E62="","",raw_data!C54)</f>
        <v/>
      </c>
      <c r="K62" s="19" t="str">
        <f>IF(E62="","",raw_data!D54)</f>
        <v/>
      </c>
      <c r="L62" s="19" t="str">
        <f>IF(F62="","",raw_data!E54)</f>
        <v/>
      </c>
      <c r="M62" s="19" t="str">
        <f>IF(E62="","",raw_data!F54)</f>
        <v/>
      </c>
      <c r="N62" s="20" t="str">
        <f t="shared" si="1"/>
        <v/>
      </c>
      <c r="O62" s="19" t="str">
        <f>IF(E62="","",raw_data!G54)</f>
        <v/>
      </c>
      <c r="P62" s="20" t="str">
        <f t="shared" si="3"/>
        <v/>
      </c>
      <c r="Q62" s="19" t="str">
        <f>IF(F62="","",raw_data!H54)</f>
        <v/>
      </c>
      <c r="R62" s="37" t="str">
        <f t="shared" si="4"/>
        <v/>
      </c>
      <c r="S62" s="41" t="str">
        <f t="shared" si="0"/>
        <v/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2.75" customHeight="1" x14ac:dyDescent="0.2">
      <c r="A63" s="9">
        <v>11029</v>
      </c>
      <c r="B63" s="9" t="s">
        <v>32</v>
      </c>
      <c r="C63" s="9" t="s">
        <v>179</v>
      </c>
      <c r="D63" s="23"/>
      <c r="E63" s="28"/>
      <c r="F63" s="27"/>
      <c r="G63" s="30"/>
      <c r="H63" s="27"/>
      <c r="I63" s="25" t="s">
        <v>15</v>
      </c>
      <c r="J63" s="34" t="str">
        <f>IF(E63="","",raw_data!C55)</f>
        <v/>
      </c>
      <c r="K63" s="19" t="str">
        <f>IF(E63="","",raw_data!D55)</f>
        <v/>
      </c>
      <c r="L63" s="19" t="str">
        <f>IF(F63="","",raw_data!E55)</f>
        <v/>
      </c>
      <c r="M63" s="19" t="str">
        <f>IF(E63="","",raw_data!F55)</f>
        <v/>
      </c>
      <c r="N63" s="20" t="str">
        <f t="shared" si="1"/>
        <v/>
      </c>
      <c r="O63" s="19" t="str">
        <f>IF(E63="","",raw_data!G55)</f>
        <v/>
      </c>
      <c r="P63" s="20" t="str">
        <f t="shared" si="3"/>
        <v/>
      </c>
      <c r="Q63" s="19" t="str">
        <f>IF(F63="","",raw_data!H55)</f>
        <v/>
      </c>
      <c r="R63" s="37" t="str">
        <f t="shared" si="4"/>
        <v/>
      </c>
      <c r="S63" s="41" t="str">
        <f t="shared" si="0"/>
        <v/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2.75" customHeight="1" x14ac:dyDescent="0.2">
      <c r="A64" s="9">
        <v>11030</v>
      </c>
      <c r="B64" s="9" t="s">
        <v>32</v>
      </c>
      <c r="C64" s="9" t="s">
        <v>180</v>
      </c>
      <c r="D64" s="23"/>
      <c r="E64" s="30"/>
      <c r="F64" s="31"/>
      <c r="G64" s="30"/>
      <c r="H64" s="31"/>
      <c r="I64" s="25" t="s">
        <v>15</v>
      </c>
      <c r="J64" s="34" t="str">
        <f>IF(E64="","",raw_data!C56)</f>
        <v/>
      </c>
      <c r="K64" s="19" t="str">
        <f>IF(E64="","",raw_data!D56)</f>
        <v/>
      </c>
      <c r="L64" s="19" t="str">
        <f>IF(F64="","",raw_data!E56)</f>
        <v/>
      </c>
      <c r="M64" s="19" t="str">
        <f>IF(E64="","",raw_data!F56)</f>
        <v/>
      </c>
      <c r="N64" s="20" t="str">
        <f t="shared" si="1"/>
        <v/>
      </c>
      <c r="O64" s="19" t="str">
        <f>IF(E64="","",raw_data!G56)</f>
        <v/>
      </c>
      <c r="P64" s="20" t="str">
        <f t="shared" si="3"/>
        <v/>
      </c>
      <c r="Q64" s="19" t="str">
        <f>IF(F64="","",raw_data!H56)</f>
        <v/>
      </c>
      <c r="R64" s="37" t="str">
        <f t="shared" si="4"/>
        <v/>
      </c>
      <c r="S64" s="41" t="str">
        <f t="shared" si="0"/>
        <v/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2.75" customHeight="1" x14ac:dyDescent="0.2">
      <c r="A65" s="9">
        <v>11031</v>
      </c>
      <c r="B65" s="9" t="s">
        <v>32</v>
      </c>
      <c r="C65" s="9" t="s">
        <v>42</v>
      </c>
      <c r="D65" s="23"/>
      <c r="E65" s="30"/>
      <c r="F65" s="31"/>
      <c r="G65" s="30"/>
      <c r="H65" s="31"/>
      <c r="I65" s="25" t="s">
        <v>15</v>
      </c>
      <c r="J65" s="34" t="str">
        <f>IF(E65="","",raw_data!C57)</f>
        <v/>
      </c>
      <c r="K65" s="19" t="str">
        <f>IF(E65="","",raw_data!D57)</f>
        <v/>
      </c>
      <c r="L65" s="19" t="str">
        <f>IF(F65="","",raw_data!E57)</f>
        <v/>
      </c>
      <c r="M65" s="19" t="str">
        <f>IF(E65="","",raw_data!F57)</f>
        <v/>
      </c>
      <c r="N65" s="20" t="str">
        <f t="shared" si="1"/>
        <v/>
      </c>
      <c r="O65" s="19" t="str">
        <f>IF(E65="","",raw_data!G57)</f>
        <v/>
      </c>
      <c r="P65" s="20" t="str">
        <f t="shared" si="3"/>
        <v/>
      </c>
      <c r="Q65" s="19" t="str">
        <f>IF(F65="","",raw_data!H57)</f>
        <v/>
      </c>
      <c r="R65" s="37" t="str">
        <f t="shared" si="4"/>
        <v/>
      </c>
      <c r="S65" s="41" t="str">
        <f t="shared" si="0"/>
        <v/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2.75" customHeight="1" x14ac:dyDescent="0.2">
      <c r="A66" s="9" t="s">
        <v>398</v>
      </c>
      <c r="B66" s="9" t="s">
        <v>32</v>
      </c>
      <c r="C66" s="9" t="s">
        <v>43</v>
      </c>
      <c r="D66" s="23"/>
      <c r="E66" s="28"/>
      <c r="F66" s="27"/>
      <c r="G66" s="30"/>
      <c r="H66" s="27"/>
      <c r="I66" s="25" t="s">
        <v>15</v>
      </c>
      <c r="J66" s="34" t="str">
        <f>IF(E66="","",raw_data!C58)</f>
        <v/>
      </c>
      <c r="K66" s="19" t="str">
        <f>IF(E66="","",raw_data!D58)</f>
        <v/>
      </c>
      <c r="L66" s="19" t="str">
        <f>IF(F66="","",raw_data!E58)</f>
        <v/>
      </c>
      <c r="M66" s="19" t="str">
        <f>IF(E66="","",raw_data!F58)</f>
        <v/>
      </c>
      <c r="N66" s="20" t="str">
        <f t="shared" si="1"/>
        <v/>
      </c>
      <c r="O66" s="19" t="str">
        <f>IF(E66="","",raw_data!G58)</f>
        <v/>
      </c>
      <c r="P66" s="20" t="str">
        <f t="shared" si="3"/>
        <v/>
      </c>
      <c r="Q66" s="19" t="str">
        <f>IF(F66="","",raw_data!H58)</f>
        <v/>
      </c>
      <c r="R66" s="37" t="str">
        <f t="shared" si="4"/>
        <v/>
      </c>
      <c r="S66" s="41" t="str">
        <f t="shared" si="0"/>
        <v/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2.75" customHeight="1" x14ac:dyDescent="0.2">
      <c r="A67" s="9" t="s">
        <v>399</v>
      </c>
      <c r="B67" s="9" t="s">
        <v>32</v>
      </c>
      <c r="C67" s="9" t="s">
        <v>43</v>
      </c>
      <c r="D67" s="23" t="s">
        <v>377</v>
      </c>
      <c r="E67" s="28"/>
      <c r="F67" s="27"/>
      <c r="G67" s="30"/>
      <c r="H67" s="27"/>
      <c r="I67" s="25" t="s">
        <v>15</v>
      </c>
      <c r="J67" s="34" t="str">
        <f>IF(E67="","",raw_data!C59)</f>
        <v/>
      </c>
      <c r="K67" s="19" t="str">
        <f>IF(E67="","",raw_data!D59)</f>
        <v/>
      </c>
      <c r="L67" s="19" t="str">
        <f>IF(F67="","",raw_data!E59)</f>
        <v/>
      </c>
      <c r="M67" s="19" t="str">
        <f>IF(E67="","",raw_data!F59)</f>
        <v/>
      </c>
      <c r="N67" s="20" t="str">
        <f t="shared" si="1"/>
        <v/>
      </c>
      <c r="O67" s="19" t="str">
        <f>IF(E67="","",raw_data!G59)</f>
        <v/>
      </c>
      <c r="P67" s="20" t="str">
        <f t="shared" si="3"/>
        <v/>
      </c>
      <c r="Q67" s="19" t="str">
        <f>IF(F67="","",raw_data!H59)</f>
        <v/>
      </c>
      <c r="R67" s="37" t="str">
        <f t="shared" si="4"/>
        <v/>
      </c>
      <c r="S67" s="41" t="str">
        <f t="shared" si="0"/>
        <v/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2.75" customHeight="1" x14ac:dyDescent="0.2">
      <c r="A68" s="9" t="s">
        <v>400</v>
      </c>
      <c r="B68" s="9" t="s">
        <v>32</v>
      </c>
      <c r="C68" s="9" t="s">
        <v>364</v>
      </c>
      <c r="D68" s="23"/>
      <c r="E68" s="28"/>
      <c r="F68" s="27"/>
      <c r="G68" s="30"/>
      <c r="H68" s="27"/>
      <c r="I68" s="25" t="s">
        <v>15</v>
      </c>
      <c r="J68" s="34" t="str">
        <f>IF(E68="","",raw_data!C60)</f>
        <v/>
      </c>
      <c r="K68" s="19" t="str">
        <f>IF(E68="","",raw_data!D60)</f>
        <v/>
      </c>
      <c r="L68" s="19" t="str">
        <f>IF(F68="","",raw_data!E60)</f>
        <v/>
      </c>
      <c r="M68" s="19" t="str">
        <f>IF(E68="","",raw_data!F60)</f>
        <v/>
      </c>
      <c r="N68" s="20" t="str">
        <f t="shared" si="1"/>
        <v/>
      </c>
      <c r="O68" s="19" t="str">
        <f>IF(E68="","",raw_data!G60)</f>
        <v/>
      </c>
      <c r="P68" s="20" t="str">
        <f t="shared" si="3"/>
        <v/>
      </c>
      <c r="Q68" s="19" t="str">
        <f>IF(F68="","",raw_data!H60)</f>
        <v/>
      </c>
      <c r="R68" s="37" t="str">
        <f t="shared" si="4"/>
        <v/>
      </c>
      <c r="S68" s="41" t="str">
        <f t="shared" si="0"/>
        <v/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2.75" customHeight="1" x14ac:dyDescent="0.2">
      <c r="A69" s="9" t="s">
        <v>401</v>
      </c>
      <c r="B69" s="9" t="s">
        <v>32</v>
      </c>
      <c r="C69" s="9" t="s">
        <v>364</v>
      </c>
      <c r="D69" s="23" t="s">
        <v>377</v>
      </c>
      <c r="E69" s="28"/>
      <c r="F69" s="27"/>
      <c r="G69" s="30"/>
      <c r="H69" s="27"/>
      <c r="I69" s="25" t="s">
        <v>15</v>
      </c>
      <c r="J69" s="34" t="str">
        <f>IF(E69="","",raw_data!C61)</f>
        <v/>
      </c>
      <c r="K69" s="19" t="str">
        <f>IF(E69="","",raw_data!D61)</f>
        <v/>
      </c>
      <c r="L69" s="19" t="str">
        <f>IF(F69="","",raw_data!E61)</f>
        <v/>
      </c>
      <c r="M69" s="19" t="str">
        <f>IF(E69="","",raw_data!F61)</f>
        <v/>
      </c>
      <c r="N69" s="20" t="str">
        <f t="shared" si="1"/>
        <v/>
      </c>
      <c r="O69" s="19" t="str">
        <f>IF(E69="","",raw_data!G61)</f>
        <v/>
      </c>
      <c r="P69" s="20" t="str">
        <f t="shared" si="3"/>
        <v/>
      </c>
      <c r="Q69" s="19" t="str">
        <f>IF(F69="","",raw_data!H61)</f>
        <v/>
      </c>
      <c r="R69" s="37" t="str">
        <f t="shared" si="4"/>
        <v/>
      </c>
      <c r="S69" s="41" t="str">
        <f t="shared" si="0"/>
        <v/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2.75" customHeight="1" x14ac:dyDescent="0.2">
      <c r="A70" s="9" t="s">
        <v>437</v>
      </c>
      <c r="B70" s="9" t="s">
        <v>44</v>
      </c>
      <c r="C70" s="9" t="s">
        <v>31</v>
      </c>
      <c r="D70" s="23"/>
      <c r="E70" s="28">
        <v>0.9</v>
      </c>
      <c r="F70" s="27">
        <v>0.9</v>
      </c>
      <c r="G70" s="30" t="s">
        <v>155</v>
      </c>
      <c r="H70" s="27" t="s">
        <v>155</v>
      </c>
      <c r="I70" s="25" t="s">
        <v>15</v>
      </c>
      <c r="J70" s="34">
        <f>IF(E70="","",raw_data!C62)</f>
        <v>0</v>
      </c>
      <c r="K70" s="19">
        <f>IF(E70="","",raw_data!D62)</f>
        <v>0</v>
      </c>
      <c r="L70" s="19">
        <f>IF(F70="","",raw_data!E62)</f>
        <v>0</v>
      </c>
      <c r="M70" s="19">
        <f>IF(E70="","",raw_data!F62)</f>
        <v>0</v>
      </c>
      <c r="N70" s="20" t="str">
        <f t="shared" si="1"/>
        <v>-</v>
      </c>
      <c r="O70" s="19">
        <f>IF(E70="","",raw_data!G62)</f>
        <v>0</v>
      </c>
      <c r="P70" s="20" t="str">
        <f t="shared" si="3"/>
        <v>-</v>
      </c>
      <c r="Q70" s="19">
        <f>IF(F70="","",raw_data!H62)</f>
        <v>0</v>
      </c>
      <c r="R70" s="37" t="str">
        <f t="shared" si="4"/>
        <v>-</v>
      </c>
      <c r="S70" s="41" t="str">
        <f t="shared" si="0"/>
        <v>erfüllt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2.75" customHeight="1" x14ac:dyDescent="0.2">
      <c r="A71" s="9" t="s">
        <v>438</v>
      </c>
      <c r="B71" s="9" t="s">
        <v>44</v>
      </c>
      <c r="C71" s="9" t="s">
        <v>31</v>
      </c>
      <c r="D71" s="23" t="s">
        <v>377</v>
      </c>
      <c r="E71" s="28"/>
      <c r="F71" s="27"/>
      <c r="G71" s="30"/>
      <c r="H71" s="27"/>
      <c r="I71" s="25" t="s">
        <v>15</v>
      </c>
      <c r="J71" s="34" t="str">
        <f>IF(E71="","",raw_data!C63)</f>
        <v/>
      </c>
      <c r="K71" s="19" t="str">
        <f>IF(E71="","",raw_data!D63)</f>
        <v/>
      </c>
      <c r="L71" s="19" t="str">
        <f>IF(F71="","",raw_data!E63)</f>
        <v/>
      </c>
      <c r="M71" s="19" t="str">
        <f>IF(E71="","",raw_data!F63)</f>
        <v/>
      </c>
      <c r="N71" s="20" t="str">
        <f t="shared" si="1"/>
        <v/>
      </c>
      <c r="O71" s="19" t="str">
        <f>IF(E71="","",raw_data!G63)</f>
        <v/>
      </c>
      <c r="P71" s="20" t="str">
        <f t="shared" si="3"/>
        <v/>
      </c>
      <c r="Q71" s="19" t="str">
        <f>IF(F71="","",raw_data!H63)</f>
        <v/>
      </c>
      <c r="R71" s="37" t="str">
        <f t="shared" si="4"/>
        <v/>
      </c>
      <c r="S71" s="41" t="str">
        <f t="shared" si="0"/>
        <v/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2.75" customHeight="1" x14ac:dyDescent="0.2">
      <c r="A72" s="9" t="s">
        <v>439</v>
      </c>
      <c r="B72" s="9" t="s">
        <v>44</v>
      </c>
      <c r="C72" s="9" t="s">
        <v>33</v>
      </c>
      <c r="D72" s="23"/>
      <c r="E72" s="28"/>
      <c r="F72" s="27"/>
      <c r="G72" s="30"/>
      <c r="H72" s="27"/>
      <c r="I72" s="25" t="s">
        <v>15</v>
      </c>
      <c r="J72" s="34" t="str">
        <f>IF(E72="","",raw_data!C64)</f>
        <v/>
      </c>
      <c r="K72" s="19" t="str">
        <f>IF(E72="","",raw_data!D64)</f>
        <v/>
      </c>
      <c r="L72" s="19" t="str">
        <f>IF(F72="","",raw_data!E64)</f>
        <v/>
      </c>
      <c r="M72" s="19" t="str">
        <f>IF(E72="","",raw_data!F64)</f>
        <v/>
      </c>
      <c r="N72" s="20" t="str">
        <f t="shared" si="1"/>
        <v/>
      </c>
      <c r="O72" s="19" t="str">
        <f>IF(E72="","",raw_data!G64)</f>
        <v/>
      </c>
      <c r="P72" s="20" t="str">
        <f t="shared" si="3"/>
        <v/>
      </c>
      <c r="Q72" s="19" t="str">
        <f>IF(F72="","",raw_data!H64)</f>
        <v/>
      </c>
      <c r="R72" s="37" t="str">
        <f t="shared" si="4"/>
        <v/>
      </c>
      <c r="S72" s="41" t="str">
        <f t="shared" si="0"/>
        <v/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2.75" customHeight="1" x14ac:dyDescent="0.2">
      <c r="A73" s="9" t="s">
        <v>440</v>
      </c>
      <c r="B73" s="9" t="s">
        <v>44</v>
      </c>
      <c r="C73" s="9" t="s">
        <v>33</v>
      </c>
      <c r="D73" s="23" t="s">
        <v>378</v>
      </c>
      <c r="E73" s="28"/>
      <c r="F73" s="27"/>
      <c r="G73" s="30"/>
      <c r="H73" s="27"/>
      <c r="I73" s="25" t="s">
        <v>15</v>
      </c>
      <c r="J73" s="34" t="str">
        <f>IF(E73="","",raw_data!C65)</f>
        <v/>
      </c>
      <c r="K73" s="19" t="str">
        <f>IF(E73="","",raw_data!D65)</f>
        <v/>
      </c>
      <c r="L73" s="19" t="str">
        <f>IF(F73="","",raw_data!E65)</f>
        <v/>
      </c>
      <c r="M73" s="19" t="str">
        <f>IF(E73="","",raw_data!F65)</f>
        <v/>
      </c>
      <c r="N73" s="20" t="str">
        <f t="shared" si="1"/>
        <v/>
      </c>
      <c r="O73" s="19" t="str">
        <f>IF(E73="","",raw_data!G65)</f>
        <v/>
      </c>
      <c r="P73" s="20" t="str">
        <f t="shared" si="3"/>
        <v/>
      </c>
      <c r="Q73" s="19" t="str">
        <f>IF(F73="","",raw_data!H65)</f>
        <v/>
      </c>
      <c r="R73" s="37" t="str">
        <f t="shared" si="4"/>
        <v/>
      </c>
      <c r="S73" s="41" t="str">
        <f t="shared" si="0"/>
        <v/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2.75" customHeight="1" x14ac:dyDescent="0.2">
      <c r="A74" s="9" t="s">
        <v>403</v>
      </c>
      <c r="B74" s="9" t="s">
        <v>44</v>
      </c>
      <c r="C74" s="9" t="s">
        <v>170</v>
      </c>
      <c r="D74" s="23"/>
      <c r="E74" s="28"/>
      <c r="F74" s="27"/>
      <c r="G74" s="30"/>
      <c r="H74" s="27"/>
      <c r="I74" s="25" t="s">
        <v>34</v>
      </c>
      <c r="J74" s="34" t="str">
        <f>IF(E74="","",raw_data!C66)</f>
        <v/>
      </c>
      <c r="K74" s="19" t="str">
        <f>IF(E74="","",raw_data!D66)</f>
        <v/>
      </c>
      <c r="L74" s="19" t="str">
        <f>IF(F74="","",raw_data!E66)</f>
        <v/>
      </c>
      <c r="M74" s="19" t="str">
        <f>IF(E74="","",raw_data!F66)</f>
        <v/>
      </c>
      <c r="N74" s="20" t="str">
        <f t="shared" si="1"/>
        <v/>
      </c>
      <c r="O74" s="19" t="str">
        <f>IF(E74="","",raw_data!G66)</f>
        <v/>
      </c>
      <c r="P74" s="20" t="str">
        <f t="shared" si="3"/>
        <v/>
      </c>
      <c r="Q74" s="19" t="str">
        <f>IF(F74="","",raw_data!H66)</f>
        <v/>
      </c>
      <c r="R74" s="37" t="str">
        <f t="shared" si="4"/>
        <v/>
      </c>
      <c r="S74" s="41" t="str">
        <f t="shared" ref="S74:S137" si="5">IF(E74="","",IF(OR(NOT(ISNUMBER(N74)),N74&lt;=(1-E74)),"erfüllt",IF(G74="Fehler","mit Fehler",IF(G74="Warnung","mit Warnung",""))))</f>
        <v/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2.75" customHeight="1" x14ac:dyDescent="0.2">
      <c r="A75" s="9" t="s">
        <v>402</v>
      </c>
      <c r="B75" s="9" t="s">
        <v>44</v>
      </c>
      <c r="C75" s="9" t="s">
        <v>170</v>
      </c>
      <c r="D75" s="23" t="s">
        <v>377</v>
      </c>
      <c r="E75" s="28"/>
      <c r="F75" s="27"/>
      <c r="G75" s="30"/>
      <c r="H75" s="27"/>
      <c r="I75" s="25" t="s">
        <v>34</v>
      </c>
      <c r="J75" s="34" t="str">
        <f>IF(E75="","",raw_data!C67)</f>
        <v/>
      </c>
      <c r="K75" s="19" t="str">
        <f>IF(E75="","",raw_data!D67)</f>
        <v/>
      </c>
      <c r="L75" s="19" t="str">
        <f>IF(F75="","",raw_data!E67)</f>
        <v/>
      </c>
      <c r="M75" s="19" t="str">
        <f>IF(E75="","",raw_data!F67)</f>
        <v/>
      </c>
      <c r="N75" s="20" t="str">
        <f t="shared" ref="N75:N138" si="6">IF(E75="","",IFERROR(M75/J75,"-"))</f>
        <v/>
      </c>
      <c r="O75" s="19" t="str">
        <f>IF(E75="","",raw_data!G67)</f>
        <v/>
      </c>
      <c r="P75" s="20" t="str">
        <f t="shared" si="3"/>
        <v/>
      </c>
      <c r="Q75" s="19" t="str">
        <f>IF(F75="","",raw_data!H67)</f>
        <v/>
      </c>
      <c r="R75" s="37" t="str">
        <f t="shared" si="4"/>
        <v/>
      </c>
      <c r="S75" s="41" t="str">
        <f t="shared" si="5"/>
        <v/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2.75" customHeight="1" x14ac:dyDescent="0.2">
      <c r="A76" s="9">
        <v>12004</v>
      </c>
      <c r="B76" s="9" t="s">
        <v>44</v>
      </c>
      <c r="C76" s="9" t="s">
        <v>19</v>
      </c>
      <c r="D76" s="23"/>
      <c r="E76" s="28"/>
      <c r="F76" s="27"/>
      <c r="G76" s="30"/>
      <c r="H76" s="27"/>
      <c r="I76" s="25" t="s">
        <v>15</v>
      </c>
      <c r="J76" s="34" t="str">
        <f>IF(E76="","",raw_data!C68)</f>
        <v/>
      </c>
      <c r="K76" s="19" t="str">
        <f>IF(E76="","",raw_data!D68)</f>
        <v/>
      </c>
      <c r="L76" s="19" t="str">
        <f>IF(F76="","",raw_data!E68)</f>
        <v/>
      </c>
      <c r="M76" s="19" t="str">
        <f>IF(E76="","",raw_data!F68)</f>
        <v/>
      </c>
      <c r="N76" s="20" t="str">
        <f t="shared" si="6"/>
        <v/>
      </c>
      <c r="O76" s="19" t="str">
        <f>IF(E76="","",raw_data!G68)</f>
        <v/>
      </c>
      <c r="P76" s="20" t="str">
        <f t="shared" si="3"/>
        <v/>
      </c>
      <c r="Q76" s="19" t="str">
        <f>IF(F76="","",raw_data!H68)</f>
        <v/>
      </c>
      <c r="R76" s="37" t="str">
        <f t="shared" si="4"/>
        <v/>
      </c>
      <c r="S76" s="41" t="str">
        <f t="shared" si="5"/>
        <v/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2.75" customHeight="1" x14ac:dyDescent="0.2">
      <c r="A77" s="9">
        <v>12005</v>
      </c>
      <c r="B77" s="9" t="s">
        <v>44</v>
      </c>
      <c r="C77" s="9" t="s">
        <v>171</v>
      </c>
      <c r="D77" s="23"/>
      <c r="E77" s="28"/>
      <c r="F77" s="27"/>
      <c r="G77" s="30"/>
      <c r="H77" s="27"/>
      <c r="I77" s="25" t="s">
        <v>15</v>
      </c>
      <c r="J77" s="34" t="str">
        <f>IF(E77="","",raw_data!C69)</f>
        <v/>
      </c>
      <c r="K77" s="19" t="str">
        <f>IF(E77="","",raw_data!D69)</f>
        <v/>
      </c>
      <c r="L77" s="19" t="str">
        <f>IF(F77="","",raw_data!E69)</f>
        <v/>
      </c>
      <c r="M77" s="19" t="str">
        <f>IF(E77="","",raw_data!F69)</f>
        <v/>
      </c>
      <c r="N77" s="20" t="str">
        <f t="shared" si="6"/>
        <v/>
      </c>
      <c r="O77" s="19" t="str">
        <f>IF(E77="","",raw_data!G69)</f>
        <v/>
      </c>
      <c r="P77" s="20" t="str">
        <f t="shared" si="3"/>
        <v/>
      </c>
      <c r="Q77" s="19" t="str">
        <f>IF(F77="","",raw_data!H69)</f>
        <v/>
      </c>
      <c r="R77" s="37" t="str">
        <f t="shared" si="4"/>
        <v/>
      </c>
      <c r="S77" s="41" t="str">
        <f t="shared" si="5"/>
        <v/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2.75" customHeight="1" x14ac:dyDescent="0.2">
      <c r="A78" s="9" t="s">
        <v>404</v>
      </c>
      <c r="B78" s="9" t="s">
        <v>44</v>
      </c>
      <c r="C78" s="9" t="s">
        <v>6</v>
      </c>
      <c r="D78" s="23"/>
      <c r="E78" s="28"/>
      <c r="F78" s="27"/>
      <c r="G78" s="30"/>
      <c r="H78" s="27"/>
      <c r="I78" s="25" t="s">
        <v>15</v>
      </c>
      <c r="J78" s="34" t="str">
        <f>IF(E78="","",raw_data!C70)</f>
        <v/>
      </c>
      <c r="K78" s="19" t="str">
        <f>IF(E78="","",raw_data!D70)</f>
        <v/>
      </c>
      <c r="L78" s="19" t="str">
        <f>IF(F78="","",raw_data!E70)</f>
        <v/>
      </c>
      <c r="M78" s="19" t="str">
        <f>IF(E78="","",raw_data!F70)</f>
        <v/>
      </c>
      <c r="N78" s="20" t="str">
        <f t="shared" si="6"/>
        <v/>
      </c>
      <c r="O78" s="19" t="str">
        <f>IF(E78="","",raw_data!G70)</f>
        <v/>
      </c>
      <c r="P78" s="20" t="str">
        <f t="shared" si="3"/>
        <v/>
      </c>
      <c r="Q78" s="19" t="str">
        <f>IF(F78="","",raw_data!H70)</f>
        <v/>
      </c>
      <c r="R78" s="37" t="str">
        <f t="shared" si="4"/>
        <v/>
      </c>
      <c r="S78" s="41" t="str">
        <f t="shared" si="5"/>
        <v/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2.75" customHeight="1" x14ac:dyDescent="0.2">
      <c r="A79" s="9" t="s">
        <v>405</v>
      </c>
      <c r="B79" s="9" t="s">
        <v>44</v>
      </c>
      <c r="C79" s="9" t="s">
        <v>6</v>
      </c>
      <c r="D79" s="23" t="s">
        <v>146</v>
      </c>
      <c r="E79" s="28">
        <v>1</v>
      </c>
      <c r="F79" s="27"/>
      <c r="G79" s="30" t="s">
        <v>155</v>
      </c>
      <c r="H79" s="27"/>
      <c r="I79" s="25" t="s">
        <v>15</v>
      </c>
      <c r="J79" s="34">
        <f>IF(E79="","",raw_data!C71)</f>
        <v>0</v>
      </c>
      <c r="K79" s="19">
        <f>IF(E79="","",raw_data!D71)</f>
        <v>0</v>
      </c>
      <c r="L79" s="19" t="str">
        <f>IF(F79="","",raw_data!E71)</f>
        <v/>
      </c>
      <c r="M79" s="19">
        <f>IF(E79="","",raw_data!F71)</f>
        <v>0</v>
      </c>
      <c r="N79" s="20" t="str">
        <f t="shared" si="6"/>
        <v>-</v>
      </c>
      <c r="O79" s="19">
        <f>IF(E79="","",raw_data!G71)</f>
        <v>0</v>
      </c>
      <c r="P79" s="20" t="str">
        <f t="shared" si="3"/>
        <v>-</v>
      </c>
      <c r="Q79" s="19" t="str">
        <f>IF(F79="","",raw_data!H71)</f>
        <v/>
      </c>
      <c r="R79" s="37" t="str">
        <f t="shared" si="4"/>
        <v/>
      </c>
      <c r="S79" s="41" t="str">
        <f t="shared" si="5"/>
        <v>erfüllt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2.75" customHeight="1" x14ac:dyDescent="0.2">
      <c r="A80" s="9">
        <v>12007</v>
      </c>
      <c r="B80" s="9" t="s">
        <v>44</v>
      </c>
      <c r="C80" s="9" t="s">
        <v>160</v>
      </c>
      <c r="D80" s="23"/>
      <c r="E80" s="28"/>
      <c r="F80" s="27"/>
      <c r="G80" s="30"/>
      <c r="H80" s="27"/>
      <c r="I80" s="25" t="s">
        <v>15</v>
      </c>
      <c r="J80" s="34" t="str">
        <f>IF(E80="","",raw_data!C72)</f>
        <v/>
      </c>
      <c r="K80" s="19" t="str">
        <f>IF(E80="","",raw_data!D72)</f>
        <v/>
      </c>
      <c r="L80" s="19" t="str">
        <f>IF(F80="","",raw_data!E72)</f>
        <v/>
      </c>
      <c r="M80" s="19" t="str">
        <f>IF(E80="","",raw_data!F72)</f>
        <v/>
      </c>
      <c r="N80" s="20" t="str">
        <f t="shared" si="6"/>
        <v/>
      </c>
      <c r="O80" s="19" t="str">
        <f>IF(E80="","",raw_data!G72)</f>
        <v/>
      </c>
      <c r="P80" s="20" t="str">
        <f t="shared" si="3"/>
        <v/>
      </c>
      <c r="Q80" s="19" t="str">
        <f>IF(F80="","",raw_data!H72)</f>
        <v/>
      </c>
      <c r="R80" s="37" t="str">
        <f t="shared" si="4"/>
        <v/>
      </c>
      <c r="S80" s="41" t="str">
        <f t="shared" si="5"/>
        <v/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2.75" customHeight="1" x14ac:dyDescent="0.2">
      <c r="A81" s="9">
        <v>12008</v>
      </c>
      <c r="B81" s="9" t="s">
        <v>44</v>
      </c>
      <c r="C81" s="9" t="s">
        <v>161</v>
      </c>
      <c r="D81" s="23"/>
      <c r="E81" s="28"/>
      <c r="F81" s="27"/>
      <c r="G81" s="30"/>
      <c r="H81" s="27"/>
      <c r="I81" s="25" t="s">
        <v>15</v>
      </c>
      <c r="J81" s="34" t="str">
        <f>IF(E81="","",raw_data!C73)</f>
        <v/>
      </c>
      <c r="K81" s="19" t="str">
        <f>IF(E81="","",raw_data!D73)</f>
        <v/>
      </c>
      <c r="L81" s="19" t="str">
        <f>IF(F81="","",raw_data!E73)</f>
        <v/>
      </c>
      <c r="M81" s="19" t="str">
        <f>IF(E81="","",raw_data!F73)</f>
        <v/>
      </c>
      <c r="N81" s="20" t="str">
        <f t="shared" si="6"/>
        <v/>
      </c>
      <c r="O81" s="19" t="str">
        <f>IF(E81="","",raw_data!G73)</f>
        <v/>
      </c>
      <c r="P81" s="20" t="str">
        <f t="shared" si="3"/>
        <v/>
      </c>
      <c r="Q81" s="19" t="str">
        <f>IF(F81="","",raw_data!H73)</f>
        <v/>
      </c>
      <c r="R81" s="37" t="str">
        <f t="shared" si="4"/>
        <v/>
      </c>
      <c r="S81" s="41" t="str">
        <f t="shared" si="5"/>
        <v/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2.75" customHeight="1" x14ac:dyDescent="0.2">
      <c r="A82" s="9">
        <v>12009</v>
      </c>
      <c r="B82" s="9" t="s">
        <v>44</v>
      </c>
      <c r="C82" s="9" t="s">
        <v>365</v>
      </c>
      <c r="D82" s="23"/>
      <c r="E82" s="28"/>
      <c r="F82" s="27"/>
      <c r="G82" s="30"/>
      <c r="H82" s="27"/>
      <c r="I82" s="25" t="s">
        <v>15</v>
      </c>
      <c r="J82" s="34" t="str">
        <f>IF(E82="","",raw_data!C74)</f>
        <v/>
      </c>
      <c r="K82" s="19" t="str">
        <f>IF(E82="","",raw_data!D74)</f>
        <v/>
      </c>
      <c r="L82" s="19" t="str">
        <f>IF(F82="","",raw_data!E74)</f>
        <v/>
      </c>
      <c r="M82" s="19" t="str">
        <f>IF(E82="","",raw_data!F74)</f>
        <v/>
      </c>
      <c r="N82" s="20" t="str">
        <f t="shared" si="6"/>
        <v/>
      </c>
      <c r="O82" s="19" t="str">
        <f>IF(E82="","",raw_data!G74)</f>
        <v/>
      </c>
      <c r="P82" s="20" t="str">
        <f t="shared" si="3"/>
        <v/>
      </c>
      <c r="Q82" s="19" t="str">
        <f>IF(F82="","",raw_data!H74)</f>
        <v/>
      </c>
      <c r="R82" s="37" t="str">
        <f t="shared" si="4"/>
        <v/>
      </c>
      <c r="S82" s="41" t="str">
        <f t="shared" si="5"/>
        <v/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2.75" customHeight="1" x14ac:dyDescent="0.2">
      <c r="A83" s="9">
        <v>12010</v>
      </c>
      <c r="B83" s="9" t="s">
        <v>44</v>
      </c>
      <c r="C83" s="9" t="s">
        <v>172</v>
      </c>
      <c r="D83" s="23"/>
      <c r="E83" s="28">
        <v>1</v>
      </c>
      <c r="F83" s="27">
        <v>1</v>
      </c>
      <c r="G83" s="30" t="s">
        <v>155</v>
      </c>
      <c r="H83" s="27" t="s">
        <v>155</v>
      </c>
      <c r="I83" s="25" t="s">
        <v>15</v>
      </c>
      <c r="J83" s="34">
        <f>IF(E83="","",raw_data!C75)</f>
        <v>0</v>
      </c>
      <c r="K83" s="19">
        <f>IF(E83="","",raw_data!D75)</f>
        <v>0</v>
      </c>
      <c r="L83" s="19">
        <f>IF(F83="","",raw_data!E75)</f>
        <v>0</v>
      </c>
      <c r="M83" s="19">
        <f>IF(E83="","",raw_data!F75)</f>
        <v>0</v>
      </c>
      <c r="N83" s="20" t="str">
        <f t="shared" si="6"/>
        <v>-</v>
      </c>
      <c r="O83" s="19">
        <f>IF(E83="","",raw_data!G75)</f>
        <v>0</v>
      </c>
      <c r="P83" s="20" t="str">
        <f t="shared" si="3"/>
        <v>-</v>
      </c>
      <c r="Q83" s="19">
        <f>IF(F83="","",raw_data!H75)</f>
        <v>0</v>
      </c>
      <c r="R83" s="37" t="str">
        <f t="shared" si="4"/>
        <v>-</v>
      </c>
      <c r="S83" s="41" t="str">
        <f t="shared" si="5"/>
        <v>erfüllt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2.75" customHeight="1" x14ac:dyDescent="0.2">
      <c r="A84" s="9" t="s">
        <v>441</v>
      </c>
      <c r="B84" s="9" t="s">
        <v>44</v>
      </c>
      <c r="C84" s="9" t="s">
        <v>39</v>
      </c>
      <c r="D84" s="23"/>
      <c r="E84" s="28">
        <v>0.8</v>
      </c>
      <c r="F84" s="27">
        <v>0.8</v>
      </c>
      <c r="G84" s="30" t="s">
        <v>155</v>
      </c>
      <c r="H84" s="27" t="s">
        <v>155</v>
      </c>
      <c r="I84" s="25" t="s">
        <v>15</v>
      </c>
      <c r="J84" s="34">
        <f>IF(E84="","",raw_data!C76)</f>
        <v>0</v>
      </c>
      <c r="K84" s="19">
        <f>IF(E84="","",raw_data!D76)</f>
        <v>0</v>
      </c>
      <c r="L84" s="19">
        <f>IF(F84="","",raw_data!E76)</f>
        <v>0</v>
      </c>
      <c r="M84" s="19">
        <f>IF(E84="","",raw_data!F76)</f>
        <v>0</v>
      </c>
      <c r="N84" s="20" t="str">
        <f t="shared" si="6"/>
        <v>-</v>
      </c>
      <c r="O84" s="19">
        <f>IF(E84="","",raw_data!G76)</f>
        <v>0</v>
      </c>
      <c r="P84" s="20" t="str">
        <f t="shared" si="3"/>
        <v>-</v>
      </c>
      <c r="Q84" s="19">
        <f>IF(F84="","",raw_data!H76)</f>
        <v>0</v>
      </c>
      <c r="R84" s="37" t="str">
        <f t="shared" si="4"/>
        <v>-</v>
      </c>
      <c r="S84" s="41" t="str">
        <f t="shared" si="5"/>
        <v>erfüllt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2.75" customHeight="1" x14ac:dyDescent="0.2">
      <c r="A85" s="9" t="s">
        <v>442</v>
      </c>
      <c r="B85" s="9" t="s">
        <v>44</v>
      </c>
      <c r="C85" s="9" t="s">
        <v>39</v>
      </c>
      <c r="D85" s="23" t="s">
        <v>377</v>
      </c>
      <c r="E85" s="28"/>
      <c r="F85" s="27"/>
      <c r="G85" s="30"/>
      <c r="H85" s="27"/>
      <c r="I85" s="25" t="s">
        <v>15</v>
      </c>
      <c r="J85" s="34" t="str">
        <f>IF(E85="","",raw_data!C77)</f>
        <v/>
      </c>
      <c r="K85" s="19" t="str">
        <f>IF(E85="","",raw_data!D77)</f>
        <v/>
      </c>
      <c r="L85" s="19" t="str">
        <f>IF(F85="","",raw_data!E77)</f>
        <v/>
      </c>
      <c r="M85" s="19" t="str">
        <f>IF(E85="","",raw_data!F77)</f>
        <v/>
      </c>
      <c r="N85" s="20" t="str">
        <f t="shared" si="6"/>
        <v/>
      </c>
      <c r="O85" s="19" t="str">
        <f>IF(E85="","",raw_data!G77)</f>
        <v/>
      </c>
      <c r="P85" s="20" t="str">
        <f t="shared" si="3"/>
        <v/>
      </c>
      <c r="Q85" s="19" t="str">
        <f>IF(F85="","",raw_data!H77)</f>
        <v/>
      </c>
      <c r="R85" s="37" t="str">
        <f t="shared" si="4"/>
        <v/>
      </c>
      <c r="S85" s="41" t="str">
        <f t="shared" si="5"/>
        <v/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2.75" customHeight="1" x14ac:dyDescent="0.2">
      <c r="A86" s="9" t="s">
        <v>406</v>
      </c>
      <c r="B86" s="9" t="s">
        <v>44</v>
      </c>
      <c r="C86" s="9" t="s">
        <v>174</v>
      </c>
      <c r="D86" s="23"/>
      <c r="E86" s="28">
        <v>1</v>
      </c>
      <c r="F86" s="27">
        <v>1</v>
      </c>
      <c r="G86" s="30" t="s">
        <v>155</v>
      </c>
      <c r="H86" s="27" t="s">
        <v>155</v>
      </c>
      <c r="I86" s="25" t="s">
        <v>15</v>
      </c>
      <c r="J86" s="34">
        <f>IF(E86="","",raw_data!C78)</f>
        <v>0</v>
      </c>
      <c r="K86" s="19">
        <f>IF(E86="","",raw_data!D78)</f>
        <v>0</v>
      </c>
      <c r="L86" s="19">
        <f>IF(F86="","",raw_data!E78)</f>
        <v>0</v>
      </c>
      <c r="M86" s="19">
        <f>IF(E86="","",raw_data!F78)</f>
        <v>0</v>
      </c>
      <c r="N86" s="20" t="str">
        <f t="shared" si="6"/>
        <v>-</v>
      </c>
      <c r="O86" s="19">
        <f>IF(E86="","",raw_data!G78)</f>
        <v>0</v>
      </c>
      <c r="P86" s="20" t="str">
        <f t="shared" si="3"/>
        <v>-</v>
      </c>
      <c r="Q86" s="19">
        <f>IF(F86="","",raw_data!H78)</f>
        <v>0</v>
      </c>
      <c r="R86" s="37" t="str">
        <f t="shared" si="4"/>
        <v>-</v>
      </c>
      <c r="S86" s="41" t="str">
        <f t="shared" si="5"/>
        <v>erfüllt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2.75" customHeight="1" x14ac:dyDescent="0.2">
      <c r="A87" s="9" t="s">
        <v>407</v>
      </c>
      <c r="B87" s="9" t="s">
        <v>44</v>
      </c>
      <c r="C87" s="9" t="s">
        <v>174</v>
      </c>
      <c r="D87" s="23" t="s">
        <v>377</v>
      </c>
      <c r="E87" s="28"/>
      <c r="F87" s="27"/>
      <c r="G87" s="30"/>
      <c r="H87" s="27"/>
      <c r="I87" s="25" t="s">
        <v>15</v>
      </c>
      <c r="J87" s="34" t="str">
        <f>IF(E87="","",raw_data!C79)</f>
        <v/>
      </c>
      <c r="K87" s="19" t="str">
        <f>IF(E87="","",raw_data!D79)</f>
        <v/>
      </c>
      <c r="L87" s="19" t="str">
        <f>IF(F87="","",raw_data!E79)</f>
        <v/>
      </c>
      <c r="M87" s="19" t="str">
        <f>IF(E87="","",raw_data!F79)</f>
        <v/>
      </c>
      <c r="N87" s="20" t="str">
        <f t="shared" si="6"/>
        <v/>
      </c>
      <c r="O87" s="19" t="str">
        <f>IF(E87="","",raw_data!G79)</f>
        <v/>
      </c>
      <c r="P87" s="20" t="str">
        <f t="shared" si="3"/>
        <v/>
      </c>
      <c r="Q87" s="19" t="str">
        <f>IF(F87="","",raw_data!H79)</f>
        <v/>
      </c>
      <c r="R87" s="37" t="str">
        <f t="shared" si="4"/>
        <v/>
      </c>
      <c r="S87" s="41" t="str">
        <f t="shared" si="5"/>
        <v/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2.75" customHeight="1" x14ac:dyDescent="0.2">
      <c r="A88" s="9" t="s">
        <v>408</v>
      </c>
      <c r="B88" s="9" t="s">
        <v>44</v>
      </c>
      <c r="C88" s="9" t="s">
        <v>181</v>
      </c>
      <c r="D88" s="23"/>
      <c r="E88" s="28">
        <v>1</v>
      </c>
      <c r="F88" s="27">
        <v>1</v>
      </c>
      <c r="G88" s="30" t="s">
        <v>155</v>
      </c>
      <c r="H88" s="27" t="s">
        <v>155</v>
      </c>
      <c r="I88" s="25" t="s">
        <v>15</v>
      </c>
      <c r="J88" s="34">
        <f>IF(E88="","",raw_data!C80)</f>
        <v>0</v>
      </c>
      <c r="K88" s="19">
        <f>IF(E88="","",raw_data!D80)</f>
        <v>0</v>
      </c>
      <c r="L88" s="19">
        <f>IF(F88="","",raw_data!E80)</f>
        <v>0</v>
      </c>
      <c r="M88" s="19">
        <f>IF(E88="","",raw_data!F80)</f>
        <v>0</v>
      </c>
      <c r="N88" s="20" t="str">
        <f t="shared" si="6"/>
        <v>-</v>
      </c>
      <c r="O88" s="19">
        <f>IF(E88="","",raw_data!G80)</f>
        <v>0</v>
      </c>
      <c r="P88" s="20" t="str">
        <f t="shared" si="3"/>
        <v>-</v>
      </c>
      <c r="Q88" s="19">
        <f>IF(F88="","",raw_data!H80)</f>
        <v>0</v>
      </c>
      <c r="R88" s="37" t="str">
        <f t="shared" si="4"/>
        <v>-</v>
      </c>
      <c r="S88" s="41" t="str">
        <f t="shared" si="5"/>
        <v>erfüllt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2.75" customHeight="1" x14ac:dyDescent="0.2">
      <c r="A89" s="9" t="s">
        <v>409</v>
      </c>
      <c r="B89" s="9" t="s">
        <v>44</v>
      </c>
      <c r="C89" s="9" t="s">
        <v>181</v>
      </c>
      <c r="D89" s="23" t="s">
        <v>377</v>
      </c>
      <c r="E89" s="28"/>
      <c r="F89" s="27"/>
      <c r="G89" s="30"/>
      <c r="H89" s="27"/>
      <c r="I89" s="25" t="s">
        <v>15</v>
      </c>
      <c r="J89" s="34" t="str">
        <f>IF(E89="","",raw_data!C81)</f>
        <v/>
      </c>
      <c r="K89" s="19" t="str">
        <f>IF(E89="","",raw_data!D81)</f>
        <v/>
      </c>
      <c r="L89" s="19" t="str">
        <f>IF(F89="","",raw_data!E81)</f>
        <v/>
      </c>
      <c r="M89" s="19" t="str">
        <f>IF(E89="","",raw_data!F81)</f>
        <v/>
      </c>
      <c r="N89" s="20" t="str">
        <f t="shared" si="6"/>
        <v/>
      </c>
      <c r="O89" s="19" t="str">
        <f>IF(E89="","",raw_data!G81)</f>
        <v/>
      </c>
      <c r="P89" s="20" t="str">
        <f t="shared" si="3"/>
        <v/>
      </c>
      <c r="Q89" s="19" t="str">
        <f>IF(F89="","",raw_data!H81)</f>
        <v/>
      </c>
      <c r="R89" s="37" t="str">
        <f t="shared" si="4"/>
        <v/>
      </c>
      <c r="S89" s="41" t="str">
        <f t="shared" si="5"/>
        <v/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2.75" customHeight="1" x14ac:dyDescent="0.2">
      <c r="A90" s="9">
        <v>12014</v>
      </c>
      <c r="B90" s="9" t="s">
        <v>44</v>
      </c>
      <c r="C90" s="9" t="s">
        <v>182</v>
      </c>
      <c r="D90" s="23"/>
      <c r="E90" s="28"/>
      <c r="F90" s="27"/>
      <c r="G90" s="30"/>
      <c r="H90" s="27"/>
      <c r="I90" s="25" t="s">
        <v>15</v>
      </c>
      <c r="J90" s="34" t="str">
        <f>IF(E90="","",raw_data!C82)</f>
        <v/>
      </c>
      <c r="K90" s="19" t="str">
        <f>IF(E90="","",raw_data!D82)</f>
        <v/>
      </c>
      <c r="L90" s="19" t="str">
        <f>IF(F90="","",raw_data!E82)</f>
        <v/>
      </c>
      <c r="M90" s="19" t="str">
        <f>IF(E90="","",raw_data!F82)</f>
        <v/>
      </c>
      <c r="N90" s="20" t="str">
        <f t="shared" si="6"/>
        <v/>
      </c>
      <c r="O90" s="19" t="str">
        <f>IF(E90="","",raw_data!G82)</f>
        <v/>
      </c>
      <c r="P90" s="20" t="str">
        <f t="shared" si="3"/>
        <v/>
      </c>
      <c r="Q90" s="19" t="str">
        <f>IF(F90="","",raw_data!H82)</f>
        <v/>
      </c>
      <c r="R90" s="37" t="str">
        <f t="shared" si="4"/>
        <v/>
      </c>
      <c r="S90" s="41" t="str">
        <f t="shared" si="5"/>
        <v/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2.75" customHeight="1" x14ac:dyDescent="0.2">
      <c r="A91" s="9">
        <v>12015</v>
      </c>
      <c r="B91" s="9" t="s">
        <v>44</v>
      </c>
      <c r="C91" s="9" t="s">
        <v>183</v>
      </c>
      <c r="D91" s="23"/>
      <c r="E91" s="28"/>
      <c r="F91" s="27"/>
      <c r="G91" s="30"/>
      <c r="H91" s="27"/>
      <c r="I91" s="25" t="s">
        <v>15</v>
      </c>
      <c r="J91" s="34" t="str">
        <f>IF(E91="","",raw_data!C83)</f>
        <v/>
      </c>
      <c r="K91" s="19" t="str">
        <f>IF(E91="","",raw_data!D83)</f>
        <v/>
      </c>
      <c r="L91" s="19" t="str">
        <f>IF(F91="","",raw_data!E83)</f>
        <v/>
      </c>
      <c r="M91" s="19" t="str">
        <f>IF(E91="","",raw_data!F83)</f>
        <v/>
      </c>
      <c r="N91" s="20" t="str">
        <f t="shared" si="6"/>
        <v/>
      </c>
      <c r="O91" s="19" t="str">
        <f>IF(E91="","",raw_data!G83)</f>
        <v/>
      </c>
      <c r="P91" s="20" t="str">
        <f t="shared" si="3"/>
        <v/>
      </c>
      <c r="Q91" s="19" t="str">
        <f>IF(F91="","",raw_data!H83)</f>
        <v/>
      </c>
      <c r="R91" s="37" t="str">
        <f t="shared" si="4"/>
        <v/>
      </c>
      <c r="S91" s="41" t="str">
        <f t="shared" si="5"/>
        <v/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2.75" customHeight="1" x14ac:dyDescent="0.2">
      <c r="A92" s="9">
        <v>12016</v>
      </c>
      <c r="B92" s="9" t="s">
        <v>44</v>
      </c>
      <c r="C92" s="9" t="s">
        <v>45</v>
      </c>
      <c r="D92" s="23"/>
      <c r="E92" s="28"/>
      <c r="F92" s="27"/>
      <c r="G92" s="30"/>
      <c r="H92" s="27"/>
      <c r="I92" s="25" t="s">
        <v>30</v>
      </c>
      <c r="J92" s="34" t="str">
        <f>IF(E92="","",raw_data!C84)</f>
        <v/>
      </c>
      <c r="K92" s="19" t="str">
        <f>IF(E92="","",raw_data!D84)</f>
        <v/>
      </c>
      <c r="L92" s="19" t="str">
        <f>IF(F92="","",raw_data!E84)</f>
        <v/>
      </c>
      <c r="M92" s="19" t="str">
        <f>IF(E92="","",raw_data!F84)</f>
        <v/>
      </c>
      <c r="N92" s="20" t="str">
        <f t="shared" si="6"/>
        <v/>
      </c>
      <c r="O92" s="19" t="str">
        <f>IF(E92="","",raw_data!G84)</f>
        <v/>
      </c>
      <c r="P92" s="20" t="str">
        <f t="shared" si="3"/>
        <v/>
      </c>
      <c r="Q92" s="19" t="str">
        <f>IF(F92="","",raw_data!H84)</f>
        <v/>
      </c>
      <c r="R92" s="37" t="str">
        <f t="shared" si="4"/>
        <v/>
      </c>
      <c r="S92" s="41" t="str">
        <f t="shared" si="5"/>
        <v/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2.75" customHeight="1" x14ac:dyDescent="0.2">
      <c r="A93" s="9">
        <v>12017</v>
      </c>
      <c r="B93" s="9" t="s">
        <v>44</v>
      </c>
      <c r="C93" s="9" t="s">
        <v>184</v>
      </c>
      <c r="D93" s="23"/>
      <c r="E93" s="28">
        <v>1</v>
      </c>
      <c r="F93" s="27"/>
      <c r="G93" s="30" t="s">
        <v>155</v>
      </c>
      <c r="H93" s="27"/>
      <c r="I93" s="25" t="s">
        <v>15</v>
      </c>
      <c r="J93" s="34">
        <f>IF(E93="","",raw_data!C85)</f>
        <v>0</v>
      </c>
      <c r="K93" s="19">
        <f>IF(E93="","",raw_data!D85)</f>
        <v>0</v>
      </c>
      <c r="L93" s="19" t="str">
        <f>IF(F93="","",raw_data!E85)</f>
        <v/>
      </c>
      <c r="M93" s="19">
        <f>IF(E93="","",raw_data!F85)</f>
        <v>0</v>
      </c>
      <c r="N93" s="20" t="str">
        <f t="shared" si="6"/>
        <v>-</v>
      </c>
      <c r="O93" s="19">
        <f>IF(E93="","",raw_data!G85)</f>
        <v>0</v>
      </c>
      <c r="P93" s="20" t="str">
        <f t="shared" ref="P93:P128" si="7">IF(E93="","",IFERROR(O93/K93,"-"))</f>
        <v>-</v>
      </c>
      <c r="Q93" s="19" t="str">
        <f>IF(F93="","",raw_data!H85)</f>
        <v/>
      </c>
      <c r="R93" s="37" t="str">
        <f t="shared" ref="R93:R128" si="8">IF(F93="","",IFERROR(Q93/L93,"-"))</f>
        <v/>
      </c>
      <c r="S93" s="41" t="str">
        <f t="shared" si="5"/>
        <v>erfüllt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2.75" customHeight="1" x14ac:dyDescent="0.2">
      <c r="A94" s="9">
        <v>12018</v>
      </c>
      <c r="B94" s="9" t="s">
        <v>44</v>
      </c>
      <c r="C94" s="9" t="s">
        <v>185</v>
      </c>
      <c r="D94" s="23"/>
      <c r="E94" s="28">
        <v>1</v>
      </c>
      <c r="F94" s="27"/>
      <c r="G94" s="30" t="s">
        <v>155</v>
      </c>
      <c r="H94" s="27"/>
      <c r="I94" s="25" t="s">
        <v>15</v>
      </c>
      <c r="J94" s="34">
        <f>IF(E94="","",raw_data!C86)</f>
        <v>0</v>
      </c>
      <c r="K94" s="19">
        <f>IF(E94="","",raw_data!D86)</f>
        <v>0</v>
      </c>
      <c r="L94" s="19" t="str">
        <f>IF(F94="","",raw_data!E86)</f>
        <v/>
      </c>
      <c r="M94" s="19">
        <f>IF(E94="","",raw_data!F86)</f>
        <v>0</v>
      </c>
      <c r="N94" s="20" t="str">
        <f t="shared" si="6"/>
        <v>-</v>
      </c>
      <c r="O94" s="19">
        <f>IF(E94="","",raw_data!G86)</f>
        <v>0</v>
      </c>
      <c r="P94" s="20" t="str">
        <f t="shared" si="7"/>
        <v>-</v>
      </c>
      <c r="Q94" s="19" t="str">
        <f>IF(F94="","",raw_data!H86)</f>
        <v/>
      </c>
      <c r="R94" s="37" t="str">
        <f t="shared" si="8"/>
        <v/>
      </c>
      <c r="S94" s="41" t="str">
        <f t="shared" si="5"/>
        <v>erfüllt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2.75" customHeight="1" x14ac:dyDescent="0.2">
      <c r="A95" s="9">
        <v>12019</v>
      </c>
      <c r="B95" s="9" t="s">
        <v>44</v>
      </c>
      <c r="C95" s="9" t="s">
        <v>186</v>
      </c>
      <c r="D95" s="23"/>
      <c r="E95" s="28"/>
      <c r="F95" s="27"/>
      <c r="G95" s="30"/>
      <c r="H95" s="27"/>
      <c r="I95" s="25" t="s">
        <v>15</v>
      </c>
      <c r="J95" s="34" t="str">
        <f>IF(E95="","",raw_data!C87)</f>
        <v/>
      </c>
      <c r="K95" s="19" t="str">
        <f>IF(E95="","",raw_data!D87)</f>
        <v/>
      </c>
      <c r="L95" s="19" t="str">
        <f>IF(F95="","",raw_data!E87)</f>
        <v/>
      </c>
      <c r="M95" s="19" t="str">
        <f>IF(E95="","",raw_data!F87)</f>
        <v/>
      </c>
      <c r="N95" s="20" t="str">
        <f t="shared" si="6"/>
        <v/>
      </c>
      <c r="O95" s="19" t="str">
        <f>IF(E95="","",raw_data!G87)</f>
        <v/>
      </c>
      <c r="P95" s="20" t="str">
        <f t="shared" si="7"/>
        <v/>
      </c>
      <c r="Q95" s="19" t="str">
        <f>IF(F95="","",raw_data!H87)</f>
        <v/>
      </c>
      <c r="R95" s="37" t="str">
        <f t="shared" si="8"/>
        <v/>
      </c>
      <c r="S95" s="41" t="str">
        <f t="shared" si="5"/>
        <v/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2.75" customHeight="1" x14ac:dyDescent="0.2">
      <c r="A96" s="9">
        <v>12020</v>
      </c>
      <c r="B96" s="9" t="s">
        <v>44</v>
      </c>
      <c r="C96" s="9" t="s">
        <v>187</v>
      </c>
      <c r="D96" s="23"/>
      <c r="E96" s="28"/>
      <c r="F96" s="27"/>
      <c r="G96" s="30"/>
      <c r="H96" s="27"/>
      <c r="I96" s="25" t="s">
        <v>15</v>
      </c>
      <c r="J96" s="34" t="str">
        <f>IF(E96="","",raw_data!C88)</f>
        <v/>
      </c>
      <c r="K96" s="19" t="str">
        <f>IF(E96="","",raw_data!D88)</f>
        <v/>
      </c>
      <c r="L96" s="19" t="str">
        <f>IF(F96="","",raw_data!E88)</f>
        <v/>
      </c>
      <c r="M96" s="19" t="str">
        <f>IF(E96="","",raw_data!F88)</f>
        <v/>
      </c>
      <c r="N96" s="20" t="str">
        <f t="shared" si="6"/>
        <v/>
      </c>
      <c r="O96" s="19" t="str">
        <f>IF(E96="","",raw_data!G88)</f>
        <v/>
      </c>
      <c r="P96" s="20" t="str">
        <f t="shared" si="7"/>
        <v/>
      </c>
      <c r="Q96" s="19" t="str">
        <f>IF(F96="","",raw_data!H88)</f>
        <v/>
      </c>
      <c r="R96" s="37" t="str">
        <f t="shared" si="8"/>
        <v/>
      </c>
      <c r="S96" s="41" t="str">
        <f t="shared" si="5"/>
        <v/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2.75" customHeight="1" x14ac:dyDescent="0.2">
      <c r="A97" s="9">
        <v>12021</v>
      </c>
      <c r="B97" s="9" t="s">
        <v>44</v>
      </c>
      <c r="C97" s="9" t="s">
        <v>188</v>
      </c>
      <c r="D97" s="23"/>
      <c r="E97" s="28"/>
      <c r="F97" s="27"/>
      <c r="G97" s="30"/>
      <c r="H97" s="27"/>
      <c r="I97" s="25" t="s">
        <v>15</v>
      </c>
      <c r="J97" s="34" t="str">
        <f>IF(E97="","",raw_data!C89)</f>
        <v/>
      </c>
      <c r="K97" s="19" t="str">
        <f>IF(E97="","",raw_data!D89)</f>
        <v/>
      </c>
      <c r="L97" s="19" t="str">
        <f>IF(F97="","",raw_data!E89)</f>
        <v/>
      </c>
      <c r="M97" s="19" t="str">
        <f>IF(E97="","",raw_data!F89)</f>
        <v/>
      </c>
      <c r="N97" s="20" t="str">
        <f t="shared" si="6"/>
        <v/>
      </c>
      <c r="O97" s="19" t="str">
        <f>IF(E97="","",raw_data!G89)</f>
        <v/>
      </c>
      <c r="P97" s="20" t="str">
        <f t="shared" si="7"/>
        <v/>
      </c>
      <c r="Q97" s="19" t="str">
        <f>IF(F97="","",raw_data!H89)</f>
        <v/>
      </c>
      <c r="R97" s="37" t="str">
        <f t="shared" si="8"/>
        <v/>
      </c>
      <c r="S97" s="41" t="str">
        <f t="shared" si="5"/>
        <v/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2.75" customHeight="1" x14ac:dyDescent="0.2">
      <c r="A98" s="9">
        <v>12022</v>
      </c>
      <c r="B98" s="9" t="s">
        <v>44</v>
      </c>
      <c r="C98" s="9" t="s">
        <v>46</v>
      </c>
      <c r="D98" s="23"/>
      <c r="E98" s="28"/>
      <c r="F98" s="27"/>
      <c r="G98" s="30"/>
      <c r="H98" s="27"/>
      <c r="I98" s="25" t="s">
        <v>15</v>
      </c>
      <c r="J98" s="34" t="str">
        <f>IF(E98="","",raw_data!C90)</f>
        <v/>
      </c>
      <c r="K98" s="19" t="str">
        <f>IF(E98="","",raw_data!D90)</f>
        <v/>
      </c>
      <c r="L98" s="19" t="str">
        <f>IF(F98="","",raw_data!E90)</f>
        <v/>
      </c>
      <c r="M98" s="19" t="str">
        <f>IF(E98="","",raw_data!F90)</f>
        <v/>
      </c>
      <c r="N98" s="20" t="str">
        <f t="shared" si="6"/>
        <v/>
      </c>
      <c r="O98" s="19" t="str">
        <f>IF(E98="","",raw_data!G90)</f>
        <v/>
      </c>
      <c r="P98" s="20" t="str">
        <f t="shared" si="7"/>
        <v/>
      </c>
      <c r="Q98" s="19" t="str">
        <f>IF(F98="","",raw_data!H90)</f>
        <v/>
      </c>
      <c r="R98" s="37" t="str">
        <f t="shared" si="8"/>
        <v/>
      </c>
      <c r="S98" s="41" t="str">
        <f t="shared" si="5"/>
        <v/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2.75" customHeight="1" x14ac:dyDescent="0.2">
      <c r="A99" s="9" t="s">
        <v>410</v>
      </c>
      <c r="B99" s="9" t="s">
        <v>44</v>
      </c>
      <c r="C99" s="9" t="s">
        <v>47</v>
      </c>
      <c r="D99" s="23"/>
      <c r="E99" s="28"/>
      <c r="F99" s="27"/>
      <c r="G99" s="30"/>
      <c r="H99" s="27"/>
      <c r="I99" s="25" t="s">
        <v>15</v>
      </c>
      <c r="J99" s="34" t="str">
        <f>IF(E99="","",raw_data!C91)</f>
        <v/>
      </c>
      <c r="K99" s="19" t="str">
        <f>IF(E99="","",raw_data!D91)</f>
        <v/>
      </c>
      <c r="L99" s="19" t="str">
        <f>IF(F99="","",raw_data!E91)</f>
        <v/>
      </c>
      <c r="M99" s="19" t="str">
        <f>IF(E99="","",raw_data!F91)</f>
        <v/>
      </c>
      <c r="N99" s="20" t="str">
        <f t="shared" si="6"/>
        <v/>
      </c>
      <c r="O99" s="19" t="str">
        <f>IF(E99="","",raw_data!G91)</f>
        <v/>
      </c>
      <c r="P99" s="20" t="str">
        <f t="shared" si="7"/>
        <v/>
      </c>
      <c r="Q99" s="19" t="str">
        <f>IF(F99="","",raw_data!H91)</f>
        <v/>
      </c>
      <c r="R99" s="37" t="str">
        <f t="shared" si="8"/>
        <v/>
      </c>
      <c r="S99" s="41" t="str">
        <f t="shared" si="5"/>
        <v/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2.75" customHeight="1" x14ac:dyDescent="0.2">
      <c r="A100" s="9" t="s">
        <v>411</v>
      </c>
      <c r="B100" s="9" t="s">
        <v>44</v>
      </c>
      <c r="C100" s="9" t="s">
        <v>47</v>
      </c>
      <c r="D100" s="23" t="s">
        <v>377</v>
      </c>
      <c r="E100" s="28"/>
      <c r="F100" s="27"/>
      <c r="G100" s="30"/>
      <c r="H100" s="27"/>
      <c r="I100" s="25" t="s">
        <v>15</v>
      </c>
      <c r="J100" s="34" t="str">
        <f>IF(E100="","",raw_data!C92)</f>
        <v/>
      </c>
      <c r="K100" s="19" t="str">
        <f>IF(E100="","",raw_data!D92)</f>
        <v/>
      </c>
      <c r="L100" s="19" t="str">
        <f>IF(F100="","",raw_data!E92)</f>
        <v/>
      </c>
      <c r="M100" s="19" t="str">
        <f>IF(E100="","",raw_data!F92)</f>
        <v/>
      </c>
      <c r="N100" s="20" t="str">
        <f t="shared" si="6"/>
        <v/>
      </c>
      <c r="O100" s="19" t="str">
        <f>IF(E100="","",raw_data!G92)</f>
        <v/>
      </c>
      <c r="P100" s="20" t="str">
        <f t="shared" si="7"/>
        <v/>
      </c>
      <c r="Q100" s="19" t="str">
        <f>IF(F100="","",raw_data!H92)</f>
        <v/>
      </c>
      <c r="R100" s="37" t="str">
        <f t="shared" si="8"/>
        <v/>
      </c>
      <c r="S100" s="41" t="str">
        <f t="shared" si="5"/>
        <v/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2.75" customHeight="1" x14ac:dyDescent="0.2">
      <c r="A101" s="9">
        <v>12024</v>
      </c>
      <c r="B101" s="9" t="s">
        <v>44</v>
      </c>
      <c r="C101" s="9" t="s">
        <v>189</v>
      </c>
      <c r="D101" s="23"/>
      <c r="E101" s="28"/>
      <c r="F101" s="27"/>
      <c r="G101" s="30"/>
      <c r="H101" s="27"/>
      <c r="I101" s="25" t="s">
        <v>15</v>
      </c>
      <c r="J101" s="34" t="str">
        <f>IF(E101="","",raw_data!C93)</f>
        <v/>
      </c>
      <c r="K101" s="19" t="str">
        <f>IF(E101="","",raw_data!D93)</f>
        <v/>
      </c>
      <c r="L101" s="19" t="str">
        <f>IF(F101="","",raw_data!E93)</f>
        <v/>
      </c>
      <c r="M101" s="19" t="str">
        <f>IF(E101="","",raw_data!F93)</f>
        <v/>
      </c>
      <c r="N101" s="20" t="str">
        <f t="shared" si="6"/>
        <v/>
      </c>
      <c r="O101" s="19" t="str">
        <f>IF(E101="","",raw_data!G93)</f>
        <v/>
      </c>
      <c r="P101" s="20" t="str">
        <f t="shared" si="7"/>
        <v/>
      </c>
      <c r="Q101" s="19" t="str">
        <f>IF(F101="","",raw_data!H93)</f>
        <v/>
      </c>
      <c r="R101" s="37" t="str">
        <f t="shared" si="8"/>
        <v/>
      </c>
      <c r="S101" s="41" t="str">
        <f t="shared" si="5"/>
        <v/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2.75" customHeight="1" x14ac:dyDescent="0.2">
      <c r="A102" s="9">
        <v>12025</v>
      </c>
      <c r="B102" s="9" t="s">
        <v>44</v>
      </c>
      <c r="C102" s="9" t="s">
        <v>162</v>
      </c>
      <c r="D102" s="23"/>
      <c r="E102" s="28"/>
      <c r="F102" s="27"/>
      <c r="G102" s="30"/>
      <c r="H102" s="27"/>
      <c r="I102" s="25" t="s">
        <v>15</v>
      </c>
      <c r="J102" s="34" t="str">
        <f>IF(E102="","",raw_data!C94)</f>
        <v/>
      </c>
      <c r="K102" s="19" t="str">
        <f>IF(E102="","",raw_data!D94)</f>
        <v/>
      </c>
      <c r="L102" s="19" t="str">
        <f>IF(F102="","",raw_data!E94)</f>
        <v/>
      </c>
      <c r="M102" s="19" t="str">
        <f>IF(E102="","",raw_data!F94)</f>
        <v/>
      </c>
      <c r="N102" s="20" t="str">
        <f t="shared" si="6"/>
        <v/>
      </c>
      <c r="O102" s="19" t="str">
        <f>IF(E102="","",raw_data!G94)</f>
        <v/>
      </c>
      <c r="P102" s="20" t="str">
        <f t="shared" si="7"/>
        <v/>
      </c>
      <c r="Q102" s="19" t="str">
        <f>IF(F102="","",raw_data!H94)</f>
        <v/>
      </c>
      <c r="R102" s="37" t="str">
        <f t="shared" si="8"/>
        <v/>
      </c>
      <c r="S102" s="41" t="str">
        <f t="shared" si="5"/>
        <v/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2.75" customHeight="1" x14ac:dyDescent="0.2">
      <c r="A103" s="9">
        <v>12026</v>
      </c>
      <c r="B103" s="9" t="s">
        <v>44</v>
      </c>
      <c r="C103" s="9" t="s">
        <v>48</v>
      </c>
      <c r="D103" s="23"/>
      <c r="E103" s="28"/>
      <c r="F103" s="27"/>
      <c r="G103" s="30"/>
      <c r="H103" s="27"/>
      <c r="I103" s="25" t="s">
        <v>15</v>
      </c>
      <c r="J103" s="34" t="str">
        <f>IF(E103="","",raw_data!C95)</f>
        <v/>
      </c>
      <c r="K103" s="19" t="str">
        <f>IF(E103="","",raw_data!D95)</f>
        <v/>
      </c>
      <c r="L103" s="19" t="str">
        <f>IF(F103="","",raw_data!E95)</f>
        <v/>
      </c>
      <c r="M103" s="19" t="str">
        <f>IF(E103="","",raw_data!F95)</f>
        <v/>
      </c>
      <c r="N103" s="20" t="str">
        <f t="shared" si="6"/>
        <v/>
      </c>
      <c r="O103" s="19" t="str">
        <f>IF(E103="","",raw_data!G95)</f>
        <v/>
      </c>
      <c r="P103" s="20" t="str">
        <f t="shared" si="7"/>
        <v/>
      </c>
      <c r="Q103" s="19" t="str">
        <f>IF(F103="","",raw_data!H95)</f>
        <v/>
      </c>
      <c r="R103" s="37" t="str">
        <f t="shared" si="8"/>
        <v/>
      </c>
      <c r="S103" s="41" t="str">
        <f t="shared" si="5"/>
        <v/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2.75" customHeight="1" x14ac:dyDescent="0.2">
      <c r="A104" s="9">
        <v>12027</v>
      </c>
      <c r="B104" s="9" t="s">
        <v>44</v>
      </c>
      <c r="C104" s="9" t="s">
        <v>49</v>
      </c>
      <c r="D104" s="23"/>
      <c r="E104" s="28"/>
      <c r="F104" s="27"/>
      <c r="G104" s="30"/>
      <c r="H104" s="27"/>
      <c r="I104" s="25" t="s">
        <v>15</v>
      </c>
      <c r="J104" s="34" t="str">
        <f>IF(E104="","",raw_data!C96)</f>
        <v/>
      </c>
      <c r="K104" s="19" t="str">
        <f>IF(E104="","",raw_data!D96)</f>
        <v/>
      </c>
      <c r="L104" s="19" t="str">
        <f>IF(F104="","",raw_data!E96)</f>
        <v/>
      </c>
      <c r="M104" s="19" t="str">
        <f>IF(E104="","",raw_data!F96)</f>
        <v/>
      </c>
      <c r="N104" s="20" t="str">
        <f t="shared" si="6"/>
        <v/>
      </c>
      <c r="O104" s="19" t="str">
        <f>IF(E104="","",raw_data!G96)</f>
        <v/>
      </c>
      <c r="P104" s="20" t="str">
        <f t="shared" si="7"/>
        <v/>
      </c>
      <c r="Q104" s="19" t="str">
        <f>IF(F104="","",raw_data!H96)</f>
        <v/>
      </c>
      <c r="R104" s="37" t="str">
        <f t="shared" si="8"/>
        <v/>
      </c>
      <c r="S104" s="41" t="str">
        <f t="shared" si="5"/>
        <v/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2.75" customHeight="1" x14ac:dyDescent="0.2">
      <c r="A105" s="9" t="s">
        <v>412</v>
      </c>
      <c r="B105" s="9" t="s">
        <v>44</v>
      </c>
      <c r="C105" s="9" t="s">
        <v>50</v>
      </c>
      <c r="D105" s="23"/>
      <c r="E105" s="28"/>
      <c r="F105" s="27"/>
      <c r="G105" s="30"/>
      <c r="H105" s="27"/>
      <c r="I105" s="25" t="s">
        <v>15</v>
      </c>
      <c r="J105" s="34" t="str">
        <f>IF(E105="","",raw_data!C97)</f>
        <v/>
      </c>
      <c r="K105" s="19" t="str">
        <f>IF(E105="","",raw_data!D97)</f>
        <v/>
      </c>
      <c r="L105" s="19" t="str">
        <f>IF(F105="","",raw_data!E97)</f>
        <v/>
      </c>
      <c r="M105" s="19" t="str">
        <f>IF(E105="","",raw_data!F97)</f>
        <v/>
      </c>
      <c r="N105" s="20" t="str">
        <f t="shared" si="6"/>
        <v/>
      </c>
      <c r="O105" s="19" t="str">
        <f>IF(E105="","",raw_data!G97)</f>
        <v/>
      </c>
      <c r="P105" s="20" t="str">
        <f t="shared" si="7"/>
        <v/>
      </c>
      <c r="Q105" s="19" t="str">
        <f>IF(F105="","",raw_data!H97)</f>
        <v/>
      </c>
      <c r="R105" s="37" t="str">
        <f t="shared" si="8"/>
        <v/>
      </c>
      <c r="S105" s="41" t="str">
        <f t="shared" si="5"/>
        <v/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2.75" customHeight="1" x14ac:dyDescent="0.2">
      <c r="A106" s="9" t="s">
        <v>413</v>
      </c>
      <c r="B106" s="9" t="s">
        <v>44</v>
      </c>
      <c r="C106" s="9" t="s">
        <v>50</v>
      </c>
      <c r="D106" s="23" t="s">
        <v>377</v>
      </c>
      <c r="E106" s="28"/>
      <c r="F106" s="27"/>
      <c r="G106" s="30"/>
      <c r="H106" s="27"/>
      <c r="I106" s="25" t="s">
        <v>15</v>
      </c>
      <c r="J106" s="34" t="str">
        <f>IF(E106="","",raw_data!C98)</f>
        <v/>
      </c>
      <c r="K106" s="19" t="str">
        <f>IF(E106="","",raw_data!D98)</f>
        <v/>
      </c>
      <c r="L106" s="19" t="str">
        <f>IF(F106="","",raw_data!E98)</f>
        <v/>
      </c>
      <c r="M106" s="19" t="str">
        <f>IF(E106="","",raw_data!F98)</f>
        <v/>
      </c>
      <c r="N106" s="20" t="str">
        <f t="shared" si="6"/>
        <v/>
      </c>
      <c r="O106" s="19" t="str">
        <f>IF(E106="","",raw_data!G98)</f>
        <v/>
      </c>
      <c r="P106" s="20" t="str">
        <f t="shared" si="7"/>
        <v/>
      </c>
      <c r="Q106" s="19" t="str">
        <f>IF(F106="","",raw_data!H98)</f>
        <v/>
      </c>
      <c r="R106" s="37" t="str">
        <f t="shared" si="8"/>
        <v/>
      </c>
      <c r="S106" s="41" t="str">
        <f t="shared" si="5"/>
        <v/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2.75" x14ac:dyDescent="0.2">
      <c r="A107" s="9" t="s">
        <v>414</v>
      </c>
      <c r="B107" s="9" t="s">
        <v>44</v>
      </c>
      <c r="C107" s="9" t="s">
        <v>176</v>
      </c>
      <c r="D107" s="23"/>
      <c r="E107" s="28"/>
      <c r="F107" s="27"/>
      <c r="G107" s="30"/>
      <c r="H107" s="27"/>
      <c r="I107" s="25" t="s">
        <v>15</v>
      </c>
      <c r="J107" s="34" t="str">
        <f>IF(E107="","",raw_data!C99)</f>
        <v/>
      </c>
      <c r="K107" s="19" t="str">
        <f>IF(E107="","",raw_data!D99)</f>
        <v/>
      </c>
      <c r="L107" s="19" t="str">
        <f>IF(F107="","",raw_data!E99)</f>
        <v/>
      </c>
      <c r="M107" s="19" t="str">
        <f>IF(E107="","",raw_data!F99)</f>
        <v/>
      </c>
      <c r="N107" s="20" t="str">
        <f t="shared" si="6"/>
        <v/>
      </c>
      <c r="O107" s="19" t="str">
        <f>IF(E107="","",raw_data!G99)</f>
        <v/>
      </c>
      <c r="P107" s="20" t="str">
        <f t="shared" si="7"/>
        <v/>
      </c>
      <c r="Q107" s="19" t="str">
        <f>IF(F107="","",raw_data!H99)</f>
        <v/>
      </c>
      <c r="R107" s="37" t="str">
        <f t="shared" si="8"/>
        <v/>
      </c>
      <c r="S107" s="41" t="str">
        <f t="shared" si="5"/>
        <v/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2.75" x14ac:dyDescent="0.2">
      <c r="A108" s="9" t="s">
        <v>415</v>
      </c>
      <c r="B108" s="9" t="s">
        <v>44</v>
      </c>
      <c r="C108" s="9" t="s">
        <v>176</v>
      </c>
      <c r="D108" s="23" t="s">
        <v>377</v>
      </c>
      <c r="E108" s="28"/>
      <c r="F108" s="27"/>
      <c r="G108" s="30"/>
      <c r="H108" s="27"/>
      <c r="I108" s="25" t="s">
        <v>15</v>
      </c>
      <c r="J108" s="34" t="str">
        <f>IF(E108="","",raw_data!C100)</f>
        <v/>
      </c>
      <c r="K108" s="19" t="str">
        <f>IF(E108="","",raw_data!D100)</f>
        <v/>
      </c>
      <c r="L108" s="19" t="str">
        <f>IF(F108="","",raw_data!E100)</f>
        <v/>
      </c>
      <c r="M108" s="19" t="str">
        <f>IF(E108="","",raw_data!F100)</f>
        <v/>
      </c>
      <c r="N108" s="20" t="str">
        <f t="shared" si="6"/>
        <v/>
      </c>
      <c r="O108" s="19" t="str">
        <f>IF(E108="","",raw_data!G100)</f>
        <v/>
      </c>
      <c r="P108" s="20" t="str">
        <f t="shared" si="7"/>
        <v/>
      </c>
      <c r="Q108" s="19" t="str">
        <f>IF(F108="","",raw_data!H100)</f>
        <v/>
      </c>
      <c r="R108" s="37" t="str">
        <f t="shared" si="8"/>
        <v/>
      </c>
      <c r="S108" s="41" t="str">
        <f t="shared" si="5"/>
        <v/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2.75" customHeight="1" x14ac:dyDescent="0.2">
      <c r="A109" s="9" t="s">
        <v>416</v>
      </c>
      <c r="B109" s="9" t="s">
        <v>44</v>
      </c>
      <c r="C109" s="9" t="s">
        <v>40</v>
      </c>
      <c r="D109" s="23"/>
      <c r="E109" s="28">
        <v>0.9</v>
      </c>
      <c r="F109" s="27">
        <v>0.9</v>
      </c>
      <c r="G109" s="30" t="s">
        <v>155</v>
      </c>
      <c r="H109" s="27" t="s">
        <v>155</v>
      </c>
      <c r="I109" s="25" t="s">
        <v>15</v>
      </c>
      <c r="J109" s="34">
        <f>IF(E109="","",raw_data!C101)</f>
        <v>0</v>
      </c>
      <c r="K109" s="19">
        <f>IF(E109="","",raw_data!D101)</f>
        <v>0</v>
      </c>
      <c r="L109" s="19">
        <f>IF(F109="","",raw_data!E101)</f>
        <v>0</v>
      </c>
      <c r="M109" s="19">
        <f>IF(E109="","",raw_data!F101)</f>
        <v>0</v>
      </c>
      <c r="N109" s="20" t="str">
        <f t="shared" si="6"/>
        <v>-</v>
      </c>
      <c r="O109" s="19">
        <f>IF(E109="","",raw_data!G101)</f>
        <v>0</v>
      </c>
      <c r="P109" s="20" t="str">
        <f t="shared" si="7"/>
        <v>-</v>
      </c>
      <c r="Q109" s="19">
        <f>IF(F109="","",raw_data!H101)</f>
        <v>0</v>
      </c>
      <c r="R109" s="37" t="str">
        <f t="shared" si="8"/>
        <v>-</v>
      </c>
      <c r="S109" s="41" t="str">
        <f t="shared" si="5"/>
        <v>erfüllt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2.75" customHeight="1" x14ac:dyDescent="0.2">
      <c r="A110" s="9" t="s">
        <v>417</v>
      </c>
      <c r="B110" s="9" t="s">
        <v>44</v>
      </c>
      <c r="C110" s="9" t="s">
        <v>40</v>
      </c>
      <c r="D110" s="23" t="s">
        <v>377</v>
      </c>
      <c r="E110" s="28"/>
      <c r="F110" s="27"/>
      <c r="G110" s="30"/>
      <c r="H110" s="27"/>
      <c r="I110" s="25" t="s">
        <v>15</v>
      </c>
      <c r="J110" s="34" t="str">
        <f>IF(E110="","",raw_data!C102)</f>
        <v/>
      </c>
      <c r="K110" s="19" t="str">
        <f>IF(E110="","",raw_data!D102)</f>
        <v/>
      </c>
      <c r="L110" s="19" t="str">
        <f>IF(F110="","",raw_data!E102)</f>
        <v/>
      </c>
      <c r="M110" s="19" t="str">
        <f>IF(E110="","",raw_data!F102)</f>
        <v/>
      </c>
      <c r="N110" s="20" t="str">
        <f t="shared" si="6"/>
        <v/>
      </c>
      <c r="O110" s="19" t="str">
        <f>IF(E110="","",raw_data!G102)</f>
        <v/>
      </c>
      <c r="P110" s="20" t="str">
        <f t="shared" si="7"/>
        <v/>
      </c>
      <c r="Q110" s="19" t="str">
        <f>IF(F110="","",raw_data!H102)</f>
        <v/>
      </c>
      <c r="R110" s="37" t="str">
        <f t="shared" si="8"/>
        <v/>
      </c>
      <c r="S110" s="41" t="str">
        <f t="shared" si="5"/>
        <v/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2.75" customHeight="1" x14ac:dyDescent="0.2">
      <c r="A111" s="9">
        <v>12031</v>
      </c>
      <c r="B111" s="9" t="s">
        <v>44</v>
      </c>
      <c r="C111" s="9" t="s">
        <v>177</v>
      </c>
      <c r="D111" s="23"/>
      <c r="E111" s="28"/>
      <c r="F111" s="27"/>
      <c r="G111" s="30"/>
      <c r="H111" s="27"/>
      <c r="I111" s="25" t="s">
        <v>15</v>
      </c>
      <c r="J111" s="34" t="str">
        <f>IF(E111="","",raw_data!C103)</f>
        <v/>
      </c>
      <c r="K111" s="19" t="str">
        <f>IF(E111="","",raw_data!D103)</f>
        <v/>
      </c>
      <c r="L111" s="19" t="str">
        <f>IF(F111="","",raw_data!E103)</f>
        <v/>
      </c>
      <c r="M111" s="19" t="str">
        <f>IF(E111="","",raw_data!F103)</f>
        <v/>
      </c>
      <c r="N111" s="20" t="str">
        <f t="shared" si="6"/>
        <v/>
      </c>
      <c r="O111" s="19" t="str">
        <f>IF(E111="","",raw_data!G103)</f>
        <v/>
      </c>
      <c r="P111" s="20" t="str">
        <f t="shared" si="7"/>
        <v/>
      </c>
      <c r="Q111" s="19" t="str">
        <f>IF(F111="","",raw_data!H103)</f>
        <v/>
      </c>
      <c r="R111" s="37" t="str">
        <f t="shared" si="8"/>
        <v/>
      </c>
      <c r="S111" s="41" t="str">
        <f t="shared" si="5"/>
        <v/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2.75" customHeight="1" x14ac:dyDescent="0.2">
      <c r="A112" s="9">
        <v>12032</v>
      </c>
      <c r="B112" s="9" t="s">
        <v>44</v>
      </c>
      <c r="C112" s="9" t="s">
        <v>190</v>
      </c>
      <c r="D112" s="23"/>
      <c r="E112" s="28"/>
      <c r="F112" s="27"/>
      <c r="G112" s="30"/>
      <c r="H112" s="27"/>
      <c r="I112" s="25" t="s">
        <v>15</v>
      </c>
      <c r="J112" s="34" t="str">
        <f>IF(E112="","",raw_data!C104)</f>
        <v/>
      </c>
      <c r="K112" s="19" t="str">
        <f>IF(E112="","",raw_data!D104)</f>
        <v/>
      </c>
      <c r="L112" s="19" t="str">
        <f>IF(F112="","",raw_data!E104)</f>
        <v/>
      </c>
      <c r="M112" s="19" t="str">
        <f>IF(E112="","",raw_data!F104)</f>
        <v/>
      </c>
      <c r="N112" s="20" t="str">
        <f t="shared" si="6"/>
        <v/>
      </c>
      <c r="O112" s="19" t="str">
        <f>IF(E112="","",raw_data!G104)</f>
        <v/>
      </c>
      <c r="P112" s="20" t="str">
        <f t="shared" si="7"/>
        <v/>
      </c>
      <c r="Q112" s="19" t="str">
        <f>IF(F112="","",raw_data!H104)</f>
        <v/>
      </c>
      <c r="R112" s="37" t="str">
        <f t="shared" si="8"/>
        <v/>
      </c>
      <c r="S112" s="41" t="str">
        <f t="shared" si="5"/>
        <v/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2.75" customHeight="1" x14ac:dyDescent="0.2">
      <c r="A113" s="9">
        <v>12033</v>
      </c>
      <c r="B113" s="9" t="s">
        <v>44</v>
      </c>
      <c r="C113" s="9" t="s">
        <v>191</v>
      </c>
      <c r="D113" s="23"/>
      <c r="E113" s="28"/>
      <c r="F113" s="27"/>
      <c r="G113" s="30"/>
      <c r="H113" s="27"/>
      <c r="I113" s="25" t="s">
        <v>15</v>
      </c>
      <c r="J113" s="34" t="str">
        <f>IF(E113="","",raw_data!C105)</f>
        <v/>
      </c>
      <c r="K113" s="19" t="str">
        <f>IF(E113="","",raw_data!D105)</f>
        <v/>
      </c>
      <c r="L113" s="19" t="str">
        <f>IF(F113="","",raw_data!E105)</f>
        <v/>
      </c>
      <c r="M113" s="19" t="str">
        <f>IF(E113="","",raw_data!F105)</f>
        <v/>
      </c>
      <c r="N113" s="20" t="str">
        <f t="shared" si="6"/>
        <v/>
      </c>
      <c r="O113" s="19" t="str">
        <f>IF(E113="","",raw_data!G105)</f>
        <v/>
      </c>
      <c r="P113" s="20" t="str">
        <f t="shared" si="7"/>
        <v/>
      </c>
      <c r="Q113" s="19" t="str">
        <f>IF(F113="","",raw_data!H105)</f>
        <v/>
      </c>
      <c r="R113" s="37" t="str">
        <f t="shared" si="8"/>
        <v/>
      </c>
      <c r="S113" s="41" t="str">
        <f t="shared" si="5"/>
        <v/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2.75" customHeight="1" x14ac:dyDescent="0.2">
      <c r="A114" s="9">
        <v>12034</v>
      </c>
      <c r="B114" s="9" t="s">
        <v>44</v>
      </c>
      <c r="C114" s="9" t="s">
        <v>9</v>
      </c>
      <c r="D114" s="23"/>
      <c r="E114" s="28">
        <v>1</v>
      </c>
      <c r="F114" s="27">
        <v>1</v>
      </c>
      <c r="G114" s="30" t="s">
        <v>155</v>
      </c>
      <c r="H114" s="27" t="s">
        <v>155</v>
      </c>
      <c r="I114" s="25" t="s">
        <v>15</v>
      </c>
      <c r="J114" s="34">
        <f>IF(E114="","",raw_data!C106)</f>
        <v>0</v>
      </c>
      <c r="K114" s="19">
        <f>IF(E114="","",raw_data!D106)</f>
        <v>0</v>
      </c>
      <c r="L114" s="19">
        <f>IF(F114="","",raw_data!E106)</f>
        <v>0</v>
      </c>
      <c r="M114" s="19">
        <f>IF(E114="","",raw_data!F106)</f>
        <v>0</v>
      </c>
      <c r="N114" s="20" t="str">
        <f t="shared" si="6"/>
        <v>-</v>
      </c>
      <c r="O114" s="19">
        <f>IF(E114="","",raw_data!G106)</f>
        <v>0</v>
      </c>
      <c r="P114" s="20" t="str">
        <f t="shared" si="7"/>
        <v>-</v>
      </c>
      <c r="Q114" s="19">
        <f>IF(F114="","",raw_data!H106)</f>
        <v>0</v>
      </c>
      <c r="R114" s="37" t="str">
        <f t="shared" si="8"/>
        <v>-</v>
      </c>
      <c r="S114" s="41" t="str">
        <f t="shared" si="5"/>
        <v>erfüllt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2.75" customHeight="1" x14ac:dyDescent="0.2">
      <c r="A115" s="9" t="s">
        <v>418</v>
      </c>
      <c r="B115" s="9" t="s">
        <v>44</v>
      </c>
      <c r="C115" s="9" t="s">
        <v>51</v>
      </c>
      <c r="D115" s="23"/>
      <c r="E115" s="28"/>
      <c r="F115" s="27"/>
      <c r="G115" s="30"/>
      <c r="H115" s="27"/>
      <c r="I115" s="25" t="s">
        <v>15</v>
      </c>
      <c r="J115" s="34" t="str">
        <f>IF(E115="","",raw_data!C107)</f>
        <v/>
      </c>
      <c r="K115" s="19" t="str">
        <f>IF(E115="","",raw_data!D107)</f>
        <v/>
      </c>
      <c r="L115" s="19" t="str">
        <f>IF(F115="","",raw_data!E107)</f>
        <v/>
      </c>
      <c r="M115" s="19" t="str">
        <f>IF(E115="","",raw_data!F107)</f>
        <v/>
      </c>
      <c r="N115" s="20" t="str">
        <f t="shared" si="6"/>
        <v/>
      </c>
      <c r="O115" s="19" t="str">
        <f>IF(E115="","",raw_data!G107)</f>
        <v/>
      </c>
      <c r="P115" s="20" t="str">
        <f t="shared" si="7"/>
        <v/>
      </c>
      <c r="Q115" s="19" t="str">
        <f>IF(F115="","",raw_data!H107)</f>
        <v/>
      </c>
      <c r="R115" s="37" t="str">
        <f t="shared" si="8"/>
        <v/>
      </c>
      <c r="S115" s="41" t="str">
        <f t="shared" si="5"/>
        <v/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2.75" customHeight="1" x14ac:dyDescent="0.2">
      <c r="A116" s="9" t="s">
        <v>419</v>
      </c>
      <c r="B116" s="9" t="s">
        <v>44</v>
      </c>
      <c r="C116" s="9" t="s">
        <v>51</v>
      </c>
      <c r="D116" s="23" t="s">
        <v>377</v>
      </c>
      <c r="E116" s="28"/>
      <c r="F116" s="27"/>
      <c r="G116" s="30"/>
      <c r="H116" s="27"/>
      <c r="I116" s="25" t="s">
        <v>15</v>
      </c>
      <c r="J116" s="34" t="str">
        <f>IF(E116="","",raw_data!C108)</f>
        <v/>
      </c>
      <c r="K116" s="19" t="str">
        <f>IF(E116="","",raw_data!D108)</f>
        <v/>
      </c>
      <c r="L116" s="19" t="str">
        <f>IF(F116="","",raw_data!E108)</f>
        <v/>
      </c>
      <c r="M116" s="19" t="str">
        <f>IF(E116="","",raw_data!F108)</f>
        <v/>
      </c>
      <c r="N116" s="20" t="str">
        <f t="shared" si="6"/>
        <v/>
      </c>
      <c r="O116" s="19" t="str">
        <f>IF(E116="","",raw_data!G108)</f>
        <v/>
      </c>
      <c r="P116" s="20" t="str">
        <f t="shared" si="7"/>
        <v/>
      </c>
      <c r="Q116" s="19" t="str">
        <f>IF(F116="","",raw_data!H108)</f>
        <v/>
      </c>
      <c r="R116" s="37" t="str">
        <f t="shared" si="8"/>
        <v/>
      </c>
      <c r="S116" s="41" t="str">
        <f t="shared" si="5"/>
        <v/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2.75" customHeight="1" x14ac:dyDescent="0.2">
      <c r="A117" s="9">
        <v>12036</v>
      </c>
      <c r="B117" s="9" t="s">
        <v>44</v>
      </c>
      <c r="C117" s="9" t="s">
        <v>52</v>
      </c>
      <c r="D117" s="23"/>
      <c r="E117" s="28"/>
      <c r="F117" s="27"/>
      <c r="G117" s="30"/>
      <c r="H117" s="27"/>
      <c r="I117" s="25" t="s">
        <v>15</v>
      </c>
      <c r="J117" s="34" t="str">
        <f>IF(E117="","",raw_data!C109)</f>
        <v/>
      </c>
      <c r="K117" s="19" t="str">
        <f>IF(E117="","",raw_data!D109)</f>
        <v/>
      </c>
      <c r="L117" s="19" t="str">
        <f>IF(F117="","",raw_data!E109)</f>
        <v/>
      </c>
      <c r="M117" s="19" t="str">
        <f>IF(E117="","",raw_data!F109)</f>
        <v/>
      </c>
      <c r="N117" s="20" t="str">
        <f t="shared" si="6"/>
        <v/>
      </c>
      <c r="O117" s="19" t="str">
        <f>IF(E117="","",raw_data!G109)</f>
        <v/>
      </c>
      <c r="P117" s="20" t="str">
        <f t="shared" si="7"/>
        <v/>
      </c>
      <c r="Q117" s="19" t="str">
        <f>IF(F117="","",raw_data!H109)</f>
        <v/>
      </c>
      <c r="R117" s="37" t="str">
        <f t="shared" si="8"/>
        <v/>
      </c>
      <c r="S117" s="41" t="str">
        <f t="shared" si="5"/>
        <v/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2.75" customHeight="1" x14ac:dyDescent="0.2">
      <c r="A118" s="9">
        <v>12037</v>
      </c>
      <c r="B118" s="9" t="s">
        <v>44</v>
      </c>
      <c r="C118" s="9" t="s">
        <v>53</v>
      </c>
      <c r="D118" s="23"/>
      <c r="E118" s="28"/>
      <c r="F118" s="27"/>
      <c r="G118" s="30"/>
      <c r="H118" s="27"/>
      <c r="I118" s="25" t="s">
        <v>15</v>
      </c>
      <c r="J118" s="34" t="str">
        <f>IF(E118="","",raw_data!C110)</f>
        <v/>
      </c>
      <c r="K118" s="19" t="str">
        <f>IF(E118="","",raw_data!D110)</f>
        <v/>
      </c>
      <c r="L118" s="19" t="str">
        <f>IF(F118="","",raw_data!E110)</f>
        <v/>
      </c>
      <c r="M118" s="19" t="str">
        <f>IF(E118="","",raw_data!F110)</f>
        <v/>
      </c>
      <c r="N118" s="20" t="str">
        <f t="shared" si="6"/>
        <v/>
      </c>
      <c r="O118" s="19" t="str">
        <f>IF(E118="","",raw_data!G110)</f>
        <v/>
      </c>
      <c r="P118" s="20" t="str">
        <f t="shared" si="7"/>
        <v/>
      </c>
      <c r="Q118" s="19" t="str">
        <f>IF(F118="","",raw_data!H110)</f>
        <v/>
      </c>
      <c r="R118" s="37" t="str">
        <f t="shared" si="8"/>
        <v/>
      </c>
      <c r="S118" s="41" t="str">
        <f t="shared" si="5"/>
        <v/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2.75" customHeight="1" x14ac:dyDescent="0.2">
      <c r="A119" s="9">
        <v>12038</v>
      </c>
      <c r="B119" s="9" t="s">
        <v>44</v>
      </c>
      <c r="C119" s="9" t="s">
        <v>192</v>
      </c>
      <c r="D119" s="23"/>
      <c r="E119" s="28"/>
      <c r="F119" s="27"/>
      <c r="G119" s="30"/>
      <c r="H119" s="27"/>
      <c r="I119" s="25" t="s">
        <v>15</v>
      </c>
      <c r="J119" s="34" t="str">
        <f>IF(E119="","",raw_data!C111)</f>
        <v/>
      </c>
      <c r="K119" s="19" t="str">
        <f>IF(E119="","",raw_data!D111)</f>
        <v/>
      </c>
      <c r="L119" s="19" t="str">
        <f>IF(F119="","",raw_data!E111)</f>
        <v/>
      </c>
      <c r="M119" s="19" t="str">
        <f>IF(E119="","",raw_data!F111)</f>
        <v/>
      </c>
      <c r="N119" s="20" t="str">
        <f t="shared" si="6"/>
        <v/>
      </c>
      <c r="O119" s="19" t="str">
        <f>IF(E119="","",raw_data!G111)</f>
        <v/>
      </c>
      <c r="P119" s="20" t="str">
        <f t="shared" si="7"/>
        <v/>
      </c>
      <c r="Q119" s="19" t="str">
        <f>IF(F119="","",raw_data!H111)</f>
        <v/>
      </c>
      <c r="R119" s="37" t="str">
        <f t="shared" si="8"/>
        <v/>
      </c>
      <c r="S119" s="41" t="str">
        <f t="shared" si="5"/>
        <v/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2.75" customHeight="1" x14ac:dyDescent="0.2">
      <c r="A120" s="9">
        <v>12039</v>
      </c>
      <c r="B120" s="9" t="s">
        <v>44</v>
      </c>
      <c r="C120" s="9" t="s">
        <v>10</v>
      </c>
      <c r="D120" s="23"/>
      <c r="E120" s="28"/>
      <c r="F120" s="27"/>
      <c r="G120" s="30"/>
      <c r="H120" s="27"/>
      <c r="I120" s="25" t="s">
        <v>34</v>
      </c>
      <c r="J120" s="34" t="str">
        <f>IF(E120="","",raw_data!C112)</f>
        <v/>
      </c>
      <c r="K120" s="19" t="str">
        <f>IF(E120="","",raw_data!D112)</f>
        <v/>
      </c>
      <c r="L120" s="19" t="str">
        <f>IF(F120="","",raw_data!E112)</f>
        <v/>
      </c>
      <c r="M120" s="19" t="str">
        <f>IF(E120="","",raw_data!F112)</f>
        <v/>
      </c>
      <c r="N120" s="20" t="str">
        <f t="shared" si="6"/>
        <v/>
      </c>
      <c r="O120" s="19" t="str">
        <f>IF(E120="","",raw_data!G112)</f>
        <v/>
      </c>
      <c r="P120" s="20" t="str">
        <f t="shared" si="7"/>
        <v/>
      </c>
      <c r="Q120" s="19" t="str">
        <f>IF(F120="","",raw_data!H112)</f>
        <v/>
      </c>
      <c r="R120" s="37" t="str">
        <f t="shared" si="8"/>
        <v/>
      </c>
      <c r="S120" s="41" t="str">
        <f t="shared" si="5"/>
        <v/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2.75" customHeight="1" x14ac:dyDescent="0.2">
      <c r="A121" s="9">
        <v>12040</v>
      </c>
      <c r="B121" s="9" t="s">
        <v>44</v>
      </c>
      <c r="C121" s="9" t="s">
        <v>54</v>
      </c>
      <c r="D121" s="23"/>
      <c r="E121" s="28">
        <v>1</v>
      </c>
      <c r="F121" s="27">
        <v>1</v>
      </c>
      <c r="G121" s="30" t="s">
        <v>155</v>
      </c>
      <c r="H121" s="27" t="s">
        <v>155</v>
      </c>
      <c r="I121" s="25" t="s">
        <v>15</v>
      </c>
      <c r="J121" s="34">
        <f>IF(E121="","",raw_data!C113)</f>
        <v>0</v>
      </c>
      <c r="K121" s="19">
        <f>IF(E121="","",raw_data!D113)</f>
        <v>0</v>
      </c>
      <c r="L121" s="19">
        <f>IF(F121="","",raw_data!E113)</f>
        <v>0</v>
      </c>
      <c r="M121" s="19">
        <f>IF(E121="","",raw_data!F113)</f>
        <v>0</v>
      </c>
      <c r="N121" s="20" t="str">
        <f t="shared" si="6"/>
        <v>-</v>
      </c>
      <c r="O121" s="19">
        <f>IF(E121="","",raw_data!G113)</f>
        <v>0</v>
      </c>
      <c r="P121" s="20" t="str">
        <f t="shared" si="7"/>
        <v>-</v>
      </c>
      <c r="Q121" s="19">
        <f>IF(F121="","",raw_data!H113)</f>
        <v>0</v>
      </c>
      <c r="R121" s="37" t="str">
        <f t="shared" si="8"/>
        <v>-</v>
      </c>
      <c r="S121" s="41" t="str">
        <f t="shared" si="5"/>
        <v>erfüllt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2.75" customHeight="1" x14ac:dyDescent="0.2">
      <c r="A122" s="9">
        <v>12041</v>
      </c>
      <c r="B122" s="9" t="s">
        <v>44</v>
      </c>
      <c r="C122" s="9" t="s">
        <v>55</v>
      </c>
      <c r="D122" s="23"/>
      <c r="E122" s="28"/>
      <c r="F122" s="27"/>
      <c r="G122" s="30"/>
      <c r="H122" s="27"/>
      <c r="I122" s="25" t="s">
        <v>15</v>
      </c>
      <c r="J122" s="34" t="str">
        <f>IF(E122="","",raw_data!C114)</f>
        <v/>
      </c>
      <c r="K122" s="19" t="str">
        <f>IF(E122="","",raw_data!D114)</f>
        <v/>
      </c>
      <c r="L122" s="19" t="str">
        <f>IF(F122="","",raw_data!E114)</f>
        <v/>
      </c>
      <c r="M122" s="19" t="str">
        <f>IF(E122="","",raw_data!F114)</f>
        <v/>
      </c>
      <c r="N122" s="20" t="str">
        <f t="shared" si="6"/>
        <v/>
      </c>
      <c r="O122" s="19" t="str">
        <f>IF(E122="","",raw_data!G114)</f>
        <v/>
      </c>
      <c r="P122" s="20" t="str">
        <f t="shared" si="7"/>
        <v/>
      </c>
      <c r="Q122" s="19" t="str">
        <f>IF(F122="","",raw_data!H114)</f>
        <v/>
      </c>
      <c r="R122" s="37" t="str">
        <f t="shared" si="8"/>
        <v/>
      </c>
      <c r="S122" s="41" t="str">
        <f t="shared" si="5"/>
        <v/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2.75" customHeight="1" x14ac:dyDescent="0.2">
      <c r="A123" s="9">
        <v>12042</v>
      </c>
      <c r="B123" s="9" t="s">
        <v>44</v>
      </c>
      <c r="C123" s="9" t="s">
        <v>193</v>
      </c>
      <c r="D123" s="23"/>
      <c r="E123" s="28"/>
      <c r="F123" s="27"/>
      <c r="G123" s="30"/>
      <c r="H123" s="27"/>
      <c r="I123" s="25" t="s">
        <v>15</v>
      </c>
      <c r="J123" s="34" t="str">
        <f>IF(E123="","",raw_data!C115)</f>
        <v/>
      </c>
      <c r="K123" s="19" t="str">
        <f>IF(E123="","",raw_data!D115)</f>
        <v/>
      </c>
      <c r="L123" s="19" t="str">
        <f>IF(F123="","",raw_data!E115)</f>
        <v/>
      </c>
      <c r="M123" s="19" t="str">
        <f>IF(E123="","",raw_data!F115)</f>
        <v/>
      </c>
      <c r="N123" s="20" t="str">
        <f t="shared" si="6"/>
        <v/>
      </c>
      <c r="O123" s="19" t="str">
        <f>IF(E123="","",raw_data!G115)</f>
        <v/>
      </c>
      <c r="P123" s="20" t="str">
        <f t="shared" si="7"/>
        <v/>
      </c>
      <c r="Q123" s="19" t="str">
        <f>IF(F123="","",raw_data!H115)</f>
        <v/>
      </c>
      <c r="R123" s="37" t="str">
        <f t="shared" si="8"/>
        <v/>
      </c>
      <c r="S123" s="41" t="str">
        <f t="shared" si="5"/>
        <v/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2.75" customHeight="1" x14ac:dyDescent="0.2">
      <c r="A124" s="9">
        <v>12043</v>
      </c>
      <c r="B124" s="9" t="s">
        <v>44</v>
      </c>
      <c r="C124" s="9" t="s">
        <v>194</v>
      </c>
      <c r="D124" s="23"/>
      <c r="E124" s="28"/>
      <c r="F124" s="27"/>
      <c r="G124" s="30"/>
      <c r="H124" s="27"/>
      <c r="I124" s="25" t="s">
        <v>15</v>
      </c>
      <c r="J124" s="34" t="str">
        <f>IF(E124="","",raw_data!C116)</f>
        <v/>
      </c>
      <c r="K124" s="19" t="str">
        <f>IF(E124="","",raw_data!D116)</f>
        <v/>
      </c>
      <c r="L124" s="19" t="str">
        <f>IF(F124="","",raw_data!E116)</f>
        <v/>
      </c>
      <c r="M124" s="19" t="str">
        <f>IF(E124="","",raw_data!F116)</f>
        <v/>
      </c>
      <c r="N124" s="20" t="str">
        <f t="shared" si="6"/>
        <v/>
      </c>
      <c r="O124" s="19" t="str">
        <f>IF(E124="","",raw_data!G116)</f>
        <v/>
      </c>
      <c r="P124" s="20" t="str">
        <f t="shared" si="7"/>
        <v/>
      </c>
      <c r="Q124" s="19" t="str">
        <f>IF(F124="","",raw_data!H116)</f>
        <v/>
      </c>
      <c r="R124" s="37" t="str">
        <f t="shared" si="8"/>
        <v/>
      </c>
      <c r="S124" s="41" t="str">
        <f t="shared" si="5"/>
        <v/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2.75" customHeight="1" x14ac:dyDescent="0.2">
      <c r="A125" s="9">
        <v>12044</v>
      </c>
      <c r="B125" s="9" t="s">
        <v>44</v>
      </c>
      <c r="C125" s="9" t="s">
        <v>56</v>
      </c>
      <c r="D125" s="23"/>
      <c r="E125" s="28"/>
      <c r="F125" s="27"/>
      <c r="G125" s="30"/>
      <c r="H125" s="27"/>
      <c r="I125" s="25" t="s">
        <v>15</v>
      </c>
      <c r="J125" s="34" t="str">
        <f>IF(E125="","",raw_data!C117)</f>
        <v/>
      </c>
      <c r="K125" s="19" t="str">
        <f>IF(E125="","",raw_data!D117)</f>
        <v/>
      </c>
      <c r="L125" s="19" t="str">
        <f>IF(F125="","",raw_data!E117)</f>
        <v/>
      </c>
      <c r="M125" s="19" t="str">
        <f>IF(E125="","",raw_data!F117)</f>
        <v/>
      </c>
      <c r="N125" s="20" t="str">
        <f t="shared" si="6"/>
        <v/>
      </c>
      <c r="O125" s="19" t="str">
        <f>IF(E125="","",raw_data!G117)</f>
        <v/>
      </c>
      <c r="P125" s="20" t="str">
        <f t="shared" si="7"/>
        <v/>
      </c>
      <c r="Q125" s="19" t="str">
        <f>IF(F125="","",raw_data!H117)</f>
        <v/>
      </c>
      <c r="R125" s="37" t="str">
        <f t="shared" si="8"/>
        <v/>
      </c>
      <c r="S125" s="41" t="str">
        <f t="shared" si="5"/>
        <v/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2.75" customHeight="1" x14ac:dyDescent="0.2">
      <c r="A126" s="9" t="s">
        <v>420</v>
      </c>
      <c r="B126" s="9" t="s">
        <v>44</v>
      </c>
      <c r="C126" s="9" t="s">
        <v>43</v>
      </c>
      <c r="D126" s="23"/>
      <c r="E126" s="28"/>
      <c r="F126" s="27"/>
      <c r="G126" s="30"/>
      <c r="H126" s="27"/>
      <c r="I126" s="25" t="s">
        <v>34</v>
      </c>
      <c r="J126" s="34" t="str">
        <f>IF(E126="","",raw_data!C118)</f>
        <v/>
      </c>
      <c r="K126" s="19" t="str">
        <f>IF(E126="","",raw_data!D118)</f>
        <v/>
      </c>
      <c r="L126" s="19" t="str">
        <f>IF(F126="","",raw_data!E118)</f>
        <v/>
      </c>
      <c r="M126" s="19" t="str">
        <f>IF(E126="","",raw_data!F118)</f>
        <v/>
      </c>
      <c r="N126" s="20" t="str">
        <f t="shared" si="6"/>
        <v/>
      </c>
      <c r="O126" s="19" t="str">
        <f>IF(E126="","",raw_data!G118)</f>
        <v/>
      </c>
      <c r="P126" s="20" t="str">
        <f t="shared" si="7"/>
        <v/>
      </c>
      <c r="Q126" s="19" t="str">
        <f>IF(F126="","",raw_data!H118)</f>
        <v/>
      </c>
      <c r="R126" s="37" t="str">
        <f t="shared" si="8"/>
        <v/>
      </c>
      <c r="S126" s="41" t="str">
        <f t="shared" si="5"/>
        <v/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2.75" customHeight="1" x14ac:dyDescent="0.2">
      <c r="A127" s="9" t="s">
        <v>421</v>
      </c>
      <c r="B127" s="9" t="s">
        <v>44</v>
      </c>
      <c r="C127" s="9" t="s">
        <v>43</v>
      </c>
      <c r="D127" s="23" t="s">
        <v>378</v>
      </c>
      <c r="E127" s="30"/>
      <c r="F127" s="31"/>
      <c r="G127" s="30"/>
      <c r="H127" s="31"/>
      <c r="I127" s="25" t="s">
        <v>34</v>
      </c>
      <c r="J127" s="34" t="str">
        <f>IF(E127="","",raw_data!C119)</f>
        <v/>
      </c>
      <c r="K127" s="19" t="str">
        <f>IF(E127="","",raw_data!D119)</f>
        <v/>
      </c>
      <c r="L127" s="19" t="str">
        <f>IF(F127="","",raw_data!E119)</f>
        <v/>
      </c>
      <c r="M127" s="19" t="str">
        <f>IF(E127="","",raw_data!F119)</f>
        <v/>
      </c>
      <c r="N127" s="20" t="str">
        <f t="shared" si="6"/>
        <v/>
      </c>
      <c r="O127" s="19" t="str">
        <f>IF(E127="","",raw_data!G119)</f>
        <v/>
      </c>
      <c r="P127" s="20" t="str">
        <f t="shared" si="7"/>
        <v/>
      </c>
      <c r="Q127" s="19" t="str">
        <f>IF(F127="","",raw_data!H119)</f>
        <v/>
      </c>
      <c r="R127" s="37" t="str">
        <f t="shared" si="8"/>
        <v/>
      </c>
      <c r="S127" s="41" t="str">
        <f t="shared" si="5"/>
        <v/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2.75" customHeight="1" x14ac:dyDescent="0.2">
      <c r="A128" s="9">
        <v>12046</v>
      </c>
      <c r="B128" s="9" t="s">
        <v>44</v>
      </c>
      <c r="C128" s="9" t="s">
        <v>364</v>
      </c>
      <c r="D128" s="23"/>
      <c r="E128" s="30"/>
      <c r="F128" s="31"/>
      <c r="G128" s="30"/>
      <c r="H128" s="31"/>
      <c r="I128" s="25" t="s">
        <v>34</v>
      </c>
      <c r="J128" s="34" t="str">
        <f>IF(E128="","",raw_data!C120)</f>
        <v/>
      </c>
      <c r="K128" s="19" t="str">
        <f>IF(E128="","",raw_data!D120)</f>
        <v/>
      </c>
      <c r="L128" s="19" t="str">
        <f>IF(F128="","",raw_data!E120)</f>
        <v/>
      </c>
      <c r="M128" s="19" t="str">
        <f>IF(E128="","",raw_data!F120)</f>
        <v/>
      </c>
      <c r="N128" s="20" t="str">
        <f t="shared" si="6"/>
        <v/>
      </c>
      <c r="O128" s="19" t="str">
        <f>IF(E128="","",raw_data!G120)</f>
        <v/>
      </c>
      <c r="P128" s="20" t="str">
        <f t="shared" si="7"/>
        <v/>
      </c>
      <c r="Q128" s="19" t="str">
        <f>IF(F128="","",raw_data!H120)</f>
        <v/>
      </c>
      <c r="R128" s="37" t="str">
        <f t="shared" si="8"/>
        <v/>
      </c>
      <c r="S128" s="41" t="str">
        <f t="shared" si="5"/>
        <v/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2.75" x14ac:dyDescent="0.2">
      <c r="A129" s="9" t="s">
        <v>422</v>
      </c>
      <c r="B129" s="9" t="s">
        <v>57</v>
      </c>
      <c r="C129" s="9" t="s">
        <v>31</v>
      </c>
      <c r="D129" s="23"/>
      <c r="E129" s="42"/>
      <c r="F129" s="43"/>
      <c r="G129" s="42"/>
      <c r="H129" s="43"/>
      <c r="I129" s="25" t="s">
        <v>58</v>
      </c>
      <c r="J129" s="34" t="str">
        <f>IF(E129="","",raw_data!C121)</f>
        <v/>
      </c>
      <c r="K129" s="85"/>
      <c r="L129" s="86"/>
      <c r="M129" s="19" t="str">
        <f>IF(E129="","",raw_data!F121)</f>
        <v/>
      </c>
      <c r="N129" s="20" t="str">
        <f t="shared" si="6"/>
        <v/>
      </c>
      <c r="O129" s="88"/>
      <c r="P129" s="89"/>
      <c r="Q129" s="89"/>
      <c r="R129" s="89"/>
      <c r="S129" s="41" t="str">
        <f t="shared" si="5"/>
        <v/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2.75" x14ac:dyDescent="0.2">
      <c r="A130" s="9" t="s">
        <v>423</v>
      </c>
      <c r="B130" s="9" t="s">
        <v>57</v>
      </c>
      <c r="C130" s="9" t="s">
        <v>31</v>
      </c>
      <c r="D130" s="23" t="s">
        <v>377</v>
      </c>
      <c r="E130" s="42"/>
      <c r="F130" s="43"/>
      <c r="G130" s="42"/>
      <c r="H130" s="43"/>
      <c r="I130" s="25" t="s">
        <v>58</v>
      </c>
      <c r="J130" s="34" t="str">
        <f>IF(E130="","",raw_data!C122)</f>
        <v/>
      </c>
      <c r="K130" s="46"/>
      <c r="L130" s="87"/>
      <c r="M130" s="19" t="str">
        <f>IF(E130="","",raw_data!F122)</f>
        <v/>
      </c>
      <c r="N130" s="20" t="str">
        <f t="shared" si="6"/>
        <v/>
      </c>
      <c r="O130" s="90"/>
      <c r="P130" s="91"/>
      <c r="Q130" s="91"/>
      <c r="R130" s="91"/>
      <c r="S130" s="41" t="str">
        <f t="shared" si="5"/>
        <v/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2.75" x14ac:dyDescent="0.2">
      <c r="A131" s="9">
        <v>13002</v>
      </c>
      <c r="B131" s="9" t="s">
        <v>57</v>
      </c>
      <c r="C131" s="9" t="s">
        <v>19</v>
      </c>
      <c r="D131" s="23"/>
      <c r="E131" s="42"/>
      <c r="F131" s="43"/>
      <c r="G131" s="42"/>
      <c r="H131" s="43"/>
      <c r="I131" s="25" t="s">
        <v>58</v>
      </c>
      <c r="J131" s="34" t="str">
        <f>IF(E131="","",raw_data!C123)</f>
        <v/>
      </c>
      <c r="K131" s="46"/>
      <c r="L131" s="87"/>
      <c r="M131" s="19" t="str">
        <f>IF(E131="","",raw_data!F123)</f>
        <v/>
      </c>
      <c r="N131" s="20" t="str">
        <f t="shared" si="6"/>
        <v/>
      </c>
      <c r="O131" s="90"/>
      <c r="P131" s="91"/>
      <c r="Q131" s="91"/>
      <c r="R131" s="91"/>
      <c r="S131" s="41" t="str">
        <f t="shared" si="5"/>
        <v/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2.75" customHeight="1" x14ac:dyDescent="0.2">
      <c r="A132" s="9">
        <v>13003</v>
      </c>
      <c r="B132" s="9" t="s">
        <v>57</v>
      </c>
      <c r="C132" s="9" t="s">
        <v>59</v>
      </c>
      <c r="D132" s="23"/>
      <c r="E132" s="42"/>
      <c r="F132" s="43"/>
      <c r="G132" s="42"/>
      <c r="H132" s="43"/>
      <c r="I132" s="25" t="s">
        <v>58</v>
      </c>
      <c r="J132" s="34" t="str">
        <f>IF(E132="","",raw_data!C124)</f>
        <v/>
      </c>
      <c r="K132" s="46"/>
      <c r="L132" s="87"/>
      <c r="M132" s="19" t="str">
        <f>IF(E132="","",raw_data!F124)</f>
        <v/>
      </c>
      <c r="N132" s="20" t="str">
        <f t="shared" si="6"/>
        <v/>
      </c>
      <c r="O132" s="90"/>
      <c r="P132" s="91"/>
      <c r="Q132" s="91"/>
      <c r="R132" s="91"/>
      <c r="S132" s="41" t="str">
        <f t="shared" si="5"/>
        <v/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2.75" x14ac:dyDescent="0.2">
      <c r="A133" s="9">
        <v>13004</v>
      </c>
      <c r="B133" s="9" t="s">
        <v>57</v>
      </c>
      <c r="C133" s="9" t="s">
        <v>6</v>
      </c>
      <c r="D133" s="23"/>
      <c r="E133" s="42"/>
      <c r="F133" s="43"/>
      <c r="G133" s="42"/>
      <c r="H133" s="43"/>
      <c r="I133" s="25" t="s">
        <v>58</v>
      </c>
      <c r="J133" s="34" t="str">
        <f>IF(E133="","",raw_data!C125)</f>
        <v/>
      </c>
      <c r="K133" s="46"/>
      <c r="L133" s="87"/>
      <c r="M133" s="19" t="str">
        <f>IF(E133="","",raw_data!F125)</f>
        <v/>
      </c>
      <c r="N133" s="20" t="str">
        <f t="shared" si="6"/>
        <v/>
      </c>
      <c r="O133" s="90"/>
      <c r="P133" s="91"/>
      <c r="Q133" s="91"/>
      <c r="R133" s="91"/>
      <c r="S133" s="41" t="str">
        <f t="shared" si="5"/>
        <v/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2.75" x14ac:dyDescent="0.2">
      <c r="A134" s="9">
        <v>13005</v>
      </c>
      <c r="B134" s="9" t="s">
        <v>57</v>
      </c>
      <c r="C134" s="9" t="s">
        <v>160</v>
      </c>
      <c r="D134" s="23"/>
      <c r="E134" s="42"/>
      <c r="F134" s="43"/>
      <c r="G134" s="42"/>
      <c r="H134" s="43"/>
      <c r="I134" s="25" t="s">
        <v>58</v>
      </c>
      <c r="J134" s="34" t="str">
        <f>IF(E134="","",raw_data!C126)</f>
        <v/>
      </c>
      <c r="K134" s="46"/>
      <c r="L134" s="87"/>
      <c r="M134" s="19" t="str">
        <f>IF(E134="","",raw_data!F126)</f>
        <v/>
      </c>
      <c r="N134" s="20" t="str">
        <f t="shared" si="6"/>
        <v/>
      </c>
      <c r="O134" s="90"/>
      <c r="P134" s="91"/>
      <c r="Q134" s="91"/>
      <c r="R134" s="91"/>
      <c r="S134" s="41" t="str">
        <f t="shared" si="5"/>
        <v/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2.75" x14ac:dyDescent="0.2">
      <c r="A135" s="9">
        <v>13006</v>
      </c>
      <c r="B135" s="9" t="s">
        <v>57</v>
      </c>
      <c r="C135" s="9" t="s">
        <v>161</v>
      </c>
      <c r="D135" s="23"/>
      <c r="E135" s="42"/>
      <c r="F135" s="43"/>
      <c r="G135" s="42"/>
      <c r="H135" s="43"/>
      <c r="I135" s="25" t="s">
        <v>58</v>
      </c>
      <c r="J135" s="34" t="str">
        <f>IF(E135="","",raw_data!C127)</f>
        <v/>
      </c>
      <c r="K135" s="46"/>
      <c r="L135" s="87"/>
      <c r="M135" s="19" t="str">
        <f>IF(E135="","",raw_data!F127)</f>
        <v/>
      </c>
      <c r="N135" s="20" t="str">
        <f t="shared" si="6"/>
        <v/>
      </c>
      <c r="O135" s="90"/>
      <c r="P135" s="91"/>
      <c r="Q135" s="91"/>
      <c r="R135" s="91"/>
      <c r="S135" s="41" t="str">
        <f t="shared" si="5"/>
        <v/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2.75" x14ac:dyDescent="0.2">
      <c r="A136" s="9">
        <v>13007</v>
      </c>
      <c r="B136" s="9" t="s">
        <v>57</v>
      </c>
      <c r="C136" s="9" t="s">
        <v>60</v>
      </c>
      <c r="D136" s="23"/>
      <c r="E136" s="42"/>
      <c r="F136" s="43"/>
      <c r="G136" s="42"/>
      <c r="H136" s="43"/>
      <c r="I136" s="25" t="s">
        <v>58</v>
      </c>
      <c r="J136" s="34" t="str">
        <f>IF(E136="","",raw_data!C128)</f>
        <v/>
      </c>
      <c r="K136" s="46"/>
      <c r="L136" s="87"/>
      <c r="M136" s="19" t="str">
        <f>IF(E136="","",raw_data!F128)</f>
        <v/>
      </c>
      <c r="N136" s="20" t="str">
        <f t="shared" si="6"/>
        <v/>
      </c>
      <c r="O136" s="90"/>
      <c r="P136" s="91"/>
      <c r="Q136" s="91"/>
      <c r="R136" s="91"/>
      <c r="S136" s="41" t="str">
        <f t="shared" si="5"/>
        <v/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2.75" x14ac:dyDescent="0.2">
      <c r="A137" s="9">
        <v>13008</v>
      </c>
      <c r="B137" s="9" t="s">
        <v>57</v>
      </c>
      <c r="C137" s="9" t="s">
        <v>61</v>
      </c>
      <c r="D137" s="23"/>
      <c r="E137" s="42"/>
      <c r="F137" s="43"/>
      <c r="G137" s="42"/>
      <c r="H137" s="43"/>
      <c r="I137" s="25" t="s">
        <v>58</v>
      </c>
      <c r="J137" s="34" t="str">
        <f>IF(E137="","",raw_data!C129)</f>
        <v/>
      </c>
      <c r="K137" s="46"/>
      <c r="L137" s="87"/>
      <c r="M137" s="19" t="str">
        <f>IF(E137="","",raw_data!F129)</f>
        <v/>
      </c>
      <c r="N137" s="20" t="str">
        <f t="shared" si="6"/>
        <v/>
      </c>
      <c r="O137" s="90"/>
      <c r="P137" s="91"/>
      <c r="Q137" s="91"/>
      <c r="R137" s="91"/>
      <c r="S137" s="41" t="str">
        <f t="shared" si="5"/>
        <v/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2.75" x14ac:dyDescent="0.2">
      <c r="A138" s="9">
        <v>13009</v>
      </c>
      <c r="B138" s="9" t="s">
        <v>57</v>
      </c>
      <c r="C138" s="9" t="s">
        <v>62</v>
      </c>
      <c r="D138" s="23"/>
      <c r="E138" s="42"/>
      <c r="F138" s="43"/>
      <c r="G138" s="42"/>
      <c r="H138" s="43"/>
      <c r="I138" s="25" t="s">
        <v>58</v>
      </c>
      <c r="J138" s="34" t="str">
        <f>IF(E138="","",raw_data!C130)</f>
        <v/>
      </c>
      <c r="K138" s="46"/>
      <c r="L138" s="87"/>
      <c r="M138" s="19" t="str">
        <f>IF(E138="","",raw_data!F130)</f>
        <v/>
      </c>
      <c r="N138" s="20" t="str">
        <f t="shared" si="6"/>
        <v/>
      </c>
      <c r="O138" s="90"/>
      <c r="P138" s="91"/>
      <c r="Q138" s="91"/>
      <c r="R138" s="91"/>
      <c r="S138" s="41" t="str">
        <f t="shared" ref="S138:S201" si="9">IF(E138="","",IF(OR(NOT(ISNUMBER(N138)),N138&lt;=(1-E138)),"erfüllt",IF(G138="Fehler","mit Fehler",IF(G138="Warnung","mit Warnung",""))))</f>
        <v/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2.75" x14ac:dyDescent="0.2">
      <c r="A139" s="9">
        <v>13010</v>
      </c>
      <c r="B139" s="9" t="s">
        <v>57</v>
      </c>
      <c r="C139" s="9" t="s">
        <v>195</v>
      </c>
      <c r="D139" s="23"/>
      <c r="E139" s="42"/>
      <c r="F139" s="43"/>
      <c r="G139" s="42"/>
      <c r="H139" s="43"/>
      <c r="I139" s="25" t="s">
        <v>58</v>
      </c>
      <c r="J139" s="34" t="str">
        <f>IF(E139="","",raw_data!C131)</f>
        <v/>
      </c>
      <c r="K139" s="46"/>
      <c r="L139" s="87"/>
      <c r="M139" s="19" t="str">
        <f>IF(E139="","",raw_data!F131)</f>
        <v/>
      </c>
      <c r="N139" s="20" t="str">
        <f t="shared" ref="N139:N202" si="10">IF(E139="","",IFERROR(M139/J139,"-"))</f>
        <v/>
      </c>
      <c r="O139" s="90"/>
      <c r="P139" s="91"/>
      <c r="Q139" s="91"/>
      <c r="R139" s="91"/>
      <c r="S139" s="41" t="str">
        <f t="shared" si="9"/>
        <v/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2.75" x14ac:dyDescent="0.2">
      <c r="A140" s="9">
        <v>13011</v>
      </c>
      <c r="B140" s="9" t="s">
        <v>57</v>
      </c>
      <c r="C140" s="9" t="s">
        <v>196</v>
      </c>
      <c r="D140" s="23"/>
      <c r="E140" s="42"/>
      <c r="F140" s="43"/>
      <c r="G140" s="42"/>
      <c r="H140" s="43"/>
      <c r="I140" s="25" t="s">
        <v>58</v>
      </c>
      <c r="J140" s="34" t="str">
        <f>IF(E140="","",raw_data!C132)</f>
        <v/>
      </c>
      <c r="K140" s="46"/>
      <c r="L140" s="87"/>
      <c r="M140" s="19" t="str">
        <f>IF(E140="","",raw_data!F132)</f>
        <v/>
      </c>
      <c r="N140" s="20" t="str">
        <f t="shared" si="10"/>
        <v/>
      </c>
      <c r="O140" s="90"/>
      <c r="P140" s="91"/>
      <c r="Q140" s="91"/>
      <c r="R140" s="91"/>
      <c r="S140" s="41" t="str">
        <f t="shared" si="9"/>
        <v/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2.75" x14ac:dyDescent="0.2">
      <c r="A141" s="9" t="s">
        <v>424</v>
      </c>
      <c r="B141" s="9" t="s">
        <v>57</v>
      </c>
      <c r="C141" s="9" t="s">
        <v>63</v>
      </c>
      <c r="D141" s="23"/>
      <c r="E141" s="42"/>
      <c r="F141" s="43"/>
      <c r="G141" s="42"/>
      <c r="H141" s="43"/>
      <c r="I141" s="25" t="s">
        <v>58</v>
      </c>
      <c r="J141" s="34" t="str">
        <f>IF(E141="","",raw_data!C133)</f>
        <v/>
      </c>
      <c r="K141" s="46"/>
      <c r="L141" s="87"/>
      <c r="M141" s="19" t="str">
        <f>IF(E141="","",raw_data!F133)</f>
        <v/>
      </c>
      <c r="N141" s="20" t="str">
        <f t="shared" si="10"/>
        <v/>
      </c>
      <c r="O141" s="90"/>
      <c r="P141" s="91"/>
      <c r="Q141" s="91"/>
      <c r="R141" s="91"/>
      <c r="S141" s="41" t="str">
        <f t="shared" si="9"/>
        <v/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2.75" x14ac:dyDescent="0.2">
      <c r="A142" s="9" t="s">
        <v>425</v>
      </c>
      <c r="B142" s="9" t="s">
        <v>57</v>
      </c>
      <c r="C142" s="9" t="s">
        <v>63</v>
      </c>
      <c r="D142" s="23" t="s">
        <v>377</v>
      </c>
      <c r="E142" s="42"/>
      <c r="F142" s="43"/>
      <c r="G142" s="42"/>
      <c r="H142" s="43"/>
      <c r="I142" s="25" t="s">
        <v>58</v>
      </c>
      <c r="J142" s="34" t="str">
        <f>IF(E142="","",raw_data!C134)</f>
        <v/>
      </c>
      <c r="K142" s="46"/>
      <c r="L142" s="87"/>
      <c r="M142" s="19" t="str">
        <f>IF(E142="","",raw_data!F134)</f>
        <v/>
      </c>
      <c r="N142" s="20" t="str">
        <f t="shared" si="10"/>
        <v/>
      </c>
      <c r="O142" s="90"/>
      <c r="P142" s="91"/>
      <c r="Q142" s="91"/>
      <c r="R142" s="91"/>
      <c r="S142" s="41" t="str">
        <f t="shared" si="9"/>
        <v/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2.75" x14ac:dyDescent="0.2">
      <c r="A143" s="9">
        <v>13013</v>
      </c>
      <c r="B143" s="9" t="s">
        <v>57</v>
      </c>
      <c r="C143" s="9" t="s">
        <v>162</v>
      </c>
      <c r="D143" s="23"/>
      <c r="E143" s="42"/>
      <c r="F143" s="43"/>
      <c r="G143" s="42"/>
      <c r="H143" s="43"/>
      <c r="I143" s="25" t="s">
        <v>58</v>
      </c>
      <c r="J143" s="34" t="str">
        <f>IF(E143="","",raw_data!C135)</f>
        <v/>
      </c>
      <c r="K143" s="46"/>
      <c r="L143" s="87"/>
      <c r="M143" s="19" t="str">
        <f>IF(E143="","",raw_data!F135)</f>
        <v/>
      </c>
      <c r="N143" s="20" t="str">
        <f t="shared" si="10"/>
        <v/>
      </c>
      <c r="O143" s="90"/>
      <c r="P143" s="91"/>
      <c r="Q143" s="91"/>
      <c r="R143" s="91"/>
      <c r="S143" s="41" t="str">
        <f t="shared" si="9"/>
        <v/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2.75" x14ac:dyDescent="0.2">
      <c r="A144" s="9">
        <v>13014</v>
      </c>
      <c r="B144" s="9" t="s">
        <v>57</v>
      </c>
      <c r="C144" s="9" t="s">
        <v>64</v>
      </c>
      <c r="D144" s="23"/>
      <c r="E144" s="42"/>
      <c r="F144" s="43"/>
      <c r="G144" s="42"/>
      <c r="H144" s="43"/>
      <c r="I144" s="25" t="s">
        <v>58</v>
      </c>
      <c r="J144" s="34" t="str">
        <f>IF(E144="","",raw_data!C136)</f>
        <v/>
      </c>
      <c r="K144" s="46"/>
      <c r="L144" s="87"/>
      <c r="M144" s="19" t="str">
        <f>IF(E144="","",raw_data!F136)</f>
        <v/>
      </c>
      <c r="N144" s="20" t="str">
        <f t="shared" si="10"/>
        <v/>
      </c>
      <c r="O144" s="90"/>
      <c r="P144" s="91"/>
      <c r="Q144" s="91"/>
      <c r="R144" s="91"/>
      <c r="S144" s="41" t="str">
        <f t="shared" si="9"/>
        <v/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2.75" x14ac:dyDescent="0.2">
      <c r="A145" s="9">
        <v>13015</v>
      </c>
      <c r="B145" s="9" t="s">
        <v>57</v>
      </c>
      <c r="C145" s="9" t="s">
        <v>197</v>
      </c>
      <c r="D145" s="23"/>
      <c r="E145" s="42"/>
      <c r="F145" s="43"/>
      <c r="G145" s="42"/>
      <c r="H145" s="43"/>
      <c r="I145" s="25" t="s">
        <v>58</v>
      </c>
      <c r="J145" s="34" t="str">
        <f>IF(E145="","",raw_data!C137)</f>
        <v/>
      </c>
      <c r="K145" s="46"/>
      <c r="L145" s="87"/>
      <c r="M145" s="19" t="str">
        <f>IF(E145="","",raw_data!F137)</f>
        <v/>
      </c>
      <c r="N145" s="20" t="str">
        <f t="shared" si="10"/>
        <v/>
      </c>
      <c r="O145" s="90"/>
      <c r="P145" s="91"/>
      <c r="Q145" s="91"/>
      <c r="R145" s="91"/>
      <c r="S145" s="41" t="str">
        <f t="shared" si="9"/>
        <v/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2.75" customHeight="1" x14ac:dyDescent="0.2">
      <c r="A146" s="9">
        <v>13016</v>
      </c>
      <c r="B146" s="9" t="s">
        <v>57</v>
      </c>
      <c r="C146" s="9" t="s">
        <v>9</v>
      </c>
      <c r="D146" s="23"/>
      <c r="E146" s="42"/>
      <c r="F146" s="43"/>
      <c r="G146" s="42"/>
      <c r="H146" s="43"/>
      <c r="I146" s="25" t="s">
        <v>58</v>
      </c>
      <c r="J146" s="34" t="str">
        <f>IF(E146="","",raw_data!C138)</f>
        <v/>
      </c>
      <c r="K146" s="46"/>
      <c r="L146" s="87"/>
      <c r="M146" s="19" t="str">
        <f>IF(E146="","",raw_data!F138)</f>
        <v/>
      </c>
      <c r="N146" s="20" t="str">
        <f t="shared" si="10"/>
        <v/>
      </c>
      <c r="O146" s="90"/>
      <c r="P146" s="91"/>
      <c r="Q146" s="91"/>
      <c r="R146" s="91"/>
      <c r="S146" s="41" t="str">
        <f t="shared" si="9"/>
        <v/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2.75" x14ac:dyDescent="0.2">
      <c r="A147" s="9">
        <v>13017</v>
      </c>
      <c r="B147" s="9" t="s">
        <v>57</v>
      </c>
      <c r="C147" s="9" t="s">
        <v>66</v>
      </c>
      <c r="D147" s="23"/>
      <c r="E147" s="42"/>
      <c r="F147" s="43"/>
      <c r="G147" s="42"/>
      <c r="H147" s="43"/>
      <c r="I147" s="25" t="s">
        <v>58</v>
      </c>
      <c r="J147" s="34" t="str">
        <f>IF(E147="","",raw_data!C139)</f>
        <v/>
      </c>
      <c r="K147" s="46"/>
      <c r="L147" s="87"/>
      <c r="M147" s="19" t="str">
        <f>IF(E147="","",raw_data!F139)</f>
        <v/>
      </c>
      <c r="N147" s="20" t="str">
        <f t="shared" si="10"/>
        <v/>
      </c>
      <c r="O147" s="90"/>
      <c r="P147" s="91"/>
      <c r="Q147" s="91"/>
      <c r="R147" s="91"/>
      <c r="S147" s="41" t="str">
        <f t="shared" si="9"/>
        <v/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2.75" x14ac:dyDescent="0.2">
      <c r="A148" s="9">
        <v>13018</v>
      </c>
      <c r="B148" s="9" t="s">
        <v>57</v>
      </c>
      <c r="C148" s="9" t="s">
        <v>198</v>
      </c>
      <c r="D148" s="23"/>
      <c r="E148" s="42"/>
      <c r="F148" s="43"/>
      <c r="G148" s="42"/>
      <c r="H148" s="43"/>
      <c r="I148" s="25" t="s">
        <v>58</v>
      </c>
      <c r="J148" s="34" t="str">
        <f>IF(E148="","",raw_data!C140)</f>
        <v/>
      </c>
      <c r="K148" s="46"/>
      <c r="L148" s="87"/>
      <c r="M148" s="19" t="str">
        <f>IF(E148="","",raw_data!F140)</f>
        <v/>
      </c>
      <c r="N148" s="20" t="str">
        <f t="shared" si="10"/>
        <v/>
      </c>
      <c r="O148" s="90"/>
      <c r="P148" s="91"/>
      <c r="Q148" s="91"/>
      <c r="R148" s="91"/>
      <c r="S148" s="41" t="str">
        <f t="shared" si="9"/>
        <v/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2.75" customHeight="1" x14ac:dyDescent="0.2">
      <c r="A149" s="9">
        <v>13019</v>
      </c>
      <c r="B149" s="9" t="s">
        <v>57</v>
      </c>
      <c r="C149" s="9" t="s">
        <v>199</v>
      </c>
      <c r="D149" s="23"/>
      <c r="E149" s="42"/>
      <c r="F149" s="43"/>
      <c r="G149" s="42"/>
      <c r="H149" s="43"/>
      <c r="I149" s="25" t="s">
        <v>58</v>
      </c>
      <c r="J149" s="34" t="str">
        <f>IF(E149="","",raw_data!C141)</f>
        <v/>
      </c>
      <c r="K149" s="46"/>
      <c r="L149" s="87"/>
      <c r="M149" s="19" t="str">
        <f>IF(E149="","",raw_data!F141)</f>
        <v/>
      </c>
      <c r="N149" s="20" t="str">
        <f t="shared" si="10"/>
        <v/>
      </c>
      <c r="O149" s="90"/>
      <c r="P149" s="91"/>
      <c r="Q149" s="91"/>
      <c r="R149" s="91"/>
      <c r="S149" s="41" t="str">
        <f t="shared" si="9"/>
        <v/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2.75" customHeight="1" x14ac:dyDescent="0.2">
      <c r="A150" s="9">
        <v>13020</v>
      </c>
      <c r="B150" s="9" t="s">
        <v>57</v>
      </c>
      <c r="C150" s="9" t="s">
        <v>67</v>
      </c>
      <c r="D150" s="23"/>
      <c r="E150" s="42"/>
      <c r="F150" s="43"/>
      <c r="G150" s="42"/>
      <c r="H150" s="43"/>
      <c r="I150" s="25" t="s">
        <v>58</v>
      </c>
      <c r="J150" s="34" t="str">
        <f>IF(E150="","",raw_data!C142)</f>
        <v/>
      </c>
      <c r="K150" s="46"/>
      <c r="L150" s="87"/>
      <c r="M150" s="19" t="str">
        <f>IF(E150="","",raw_data!F142)</f>
        <v/>
      </c>
      <c r="N150" s="20" t="str">
        <f t="shared" si="10"/>
        <v/>
      </c>
      <c r="O150" s="90"/>
      <c r="P150" s="91"/>
      <c r="Q150" s="91"/>
      <c r="R150" s="91"/>
      <c r="S150" s="41" t="str">
        <f t="shared" si="9"/>
        <v/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2.75" customHeight="1" x14ac:dyDescent="0.2">
      <c r="A151" s="9">
        <v>14001</v>
      </c>
      <c r="B151" s="9" t="s">
        <v>68</v>
      </c>
      <c r="C151" s="9" t="s">
        <v>31</v>
      </c>
      <c r="D151" s="23"/>
      <c r="E151" s="42"/>
      <c r="F151" s="43"/>
      <c r="G151" s="42"/>
      <c r="H151" s="43"/>
      <c r="I151" s="25" t="s">
        <v>15</v>
      </c>
      <c r="J151" s="34" t="str">
        <f>IF(E151="","",raw_data!C143)</f>
        <v/>
      </c>
      <c r="K151" s="46"/>
      <c r="L151" s="87"/>
      <c r="M151" s="19" t="str">
        <f>IF(E151="","",raw_data!F143)</f>
        <v/>
      </c>
      <c r="N151" s="20" t="str">
        <f t="shared" si="10"/>
        <v/>
      </c>
      <c r="O151" s="90"/>
      <c r="P151" s="91"/>
      <c r="Q151" s="91"/>
      <c r="R151" s="91"/>
      <c r="S151" s="41" t="str">
        <f t="shared" si="9"/>
        <v/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2.75" customHeight="1" x14ac:dyDescent="0.2">
      <c r="A152" s="9">
        <v>14002</v>
      </c>
      <c r="B152" s="9" t="s">
        <v>68</v>
      </c>
      <c r="C152" s="9" t="s">
        <v>200</v>
      </c>
      <c r="D152" s="23"/>
      <c r="E152" s="42"/>
      <c r="F152" s="43"/>
      <c r="G152" s="42"/>
      <c r="H152" s="43"/>
      <c r="I152" s="25" t="s">
        <v>15</v>
      </c>
      <c r="J152" s="34" t="str">
        <f>IF(E152="","",raw_data!C144)</f>
        <v/>
      </c>
      <c r="K152" s="46"/>
      <c r="L152" s="87"/>
      <c r="M152" s="19" t="str">
        <f>IF(E152="","",raw_data!F144)</f>
        <v/>
      </c>
      <c r="N152" s="20" t="str">
        <f t="shared" si="10"/>
        <v/>
      </c>
      <c r="O152" s="90"/>
      <c r="P152" s="91"/>
      <c r="Q152" s="91"/>
      <c r="R152" s="91"/>
      <c r="S152" s="41" t="str">
        <f t="shared" si="9"/>
        <v/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2.75" customHeight="1" x14ac:dyDescent="0.2">
      <c r="A153" s="9">
        <v>14003</v>
      </c>
      <c r="B153" s="9" t="s">
        <v>68</v>
      </c>
      <c r="C153" s="9" t="s">
        <v>19</v>
      </c>
      <c r="D153" s="23"/>
      <c r="E153" s="42"/>
      <c r="F153" s="43"/>
      <c r="G153" s="42"/>
      <c r="H153" s="43"/>
      <c r="I153" s="25" t="s">
        <v>15</v>
      </c>
      <c r="J153" s="34" t="str">
        <f>IF(E153="","",raw_data!C145)</f>
        <v/>
      </c>
      <c r="K153" s="46"/>
      <c r="L153" s="87"/>
      <c r="M153" s="19" t="str">
        <f>IF(E153="","",raw_data!F145)</f>
        <v/>
      </c>
      <c r="N153" s="20" t="str">
        <f t="shared" si="10"/>
        <v/>
      </c>
      <c r="O153" s="90"/>
      <c r="P153" s="91"/>
      <c r="Q153" s="91"/>
      <c r="R153" s="91"/>
      <c r="S153" s="41" t="str">
        <f t="shared" si="9"/>
        <v/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2.75" customHeight="1" x14ac:dyDescent="0.2">
      <c r="A154" s="9">
        <v>14004</v>
      </c>
      <c r="B154" s="9" t="s">
        <v>68</v>
      </c>
      <c r="C154" s="9" t="s">
        <v>6</v>
      </c>
      <c r="D154" s="23"/>
      <c r="E154" s="42"/>
      <c r="F154" s="43"/>
      <c r="G154" s="42"/>
      <c r="H154" s="43"/>
      <c r="I154" s="25" t="s">
        <v>15</v>
      </c>
      <c r="J154" s="34" t="str">
        <f>IF(E154="","",raw_data!C146)</f>
        <v/>
      </c>
      <c r="K154" s="46"/>
      <c r="L154" s="87"/>
      <c r="M154" s="19" t="str">
        <f>IF(E154="","",raw_data!F146)</f>
        <v/>
      </c>
      <c r="N154" s="20" t="str">
        <f t="shared" si="10"/>
        <v/>
      </c>
      <c r="O154" s="90"/>
      <c r="P154" s="91"/>
      <c r="Q154" s="91"/>
      <c r="R154" s="91"/>
      <c r="S154" s="41" t="str">
        <f t="shared" si="9"/>
        <v/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2.75" customHeight="1" x14ac:dyDescent="0.2">
      <c r="A155" s="9">
        <v>14005</v>
      </c>
      <c r="B155" s="9" t="s">
        <v>68</v>
      </c>
      <c r="C155" s="9" t="s">
        <v>69</v>
      </c>
      <c r="D155" s="23"/>
      <c r="E155" s="42"/>
      <c r="F155" s="43"/>
      <c r="G155" s="42"/>
      <c r="H155" s="43"/>
      <c r="I155" s="25" t="s">
        <v>15</v>
      </c>
      <c r="J155" s="34" t="str">
        <f>IF(E155="","",raw_data!C147)</f>
        <v/>
      </c>
      <c r="K155" s="46"/>
      <c r="L155" s="87"/>
      <c r="M155" s="19" t="str">
        <f>IF(E155="","",raw_data!F147)</f>
        <v/>
      </c>
      <c r="N155" s="20" t="str">
        <f t="shared" si="10"/>
        <v/>
      </c>
      <c r="O155" s="90"/>
      <c r="P155" s="91"/>
      <c r="Q155" s="91"/>
      <c r="R155" s="91"/>
      <c r="S155" s="41" t="str">
        <f t="shared" si="9"/>
        <v/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2.75" customHeight="1" x14ac:dyDescent="0.2">
      <c r="A156" s="9">
        <v>14006</v>
      </c>
      <c r="B156" s="9" t="s">
        <v>68</v>
      </c>
      <c r="C156" s="9" t="s">
        <v>70</v>
      </c>
      <c r="D156" s="23"/>
      <c r="E156" s="42"/>
      <c r="F156" s="43"/>
      <c r="G156" s="42"/>
      <c r="H156" s="43"/>
      <c r="I156" s="25" t="s">
        <v>15</v>
      </c>
      <c r="J156" s="34" t="str">
        <f>IF(E156="","",raw_data!C148)</f>
        <v/>
      </c>
      <c r="K156" s="46"/>
      <c r="L156" s="87"/>
      <c r="M156" s="19" t="str">
        <f>IF(E156="","",raw_data!F148)</f>
        <v/>
      </c>
      <c r="N156" s="20" t="str">
        <f t="shared" si="10"/>
        <v/>
      </c>
      <c r="O156" s="90"/>
      <c r="P156" s="91"/>
      <c r="Q156" s="91"/>
      <c r="R156" s="91"/>
      <c r="S156" s="41" t="str">
        <f t="shared" si="9"/>
        <v/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2.75" customHeight="1" x14ac:dyDescent="0.2">
      <c r="A157" s="9">
        <v>14007</v>
      </c>
      <c r="B157" s="9" t="s">
        <v>68</v>
      </c>
      <c r="C157" s="9" t="s">
        <v>162</v>
      </c>
      <c r="D157" s="23"/>
      <c r="E157" s="42"/>
      <c r="F157" s="43"/>
      <c r="G157" s="42"/>
      <c r="H157" s="43"/>
      <c r="I157" s="25" t="s">
        <v>15</v>
      </c>
      <c r="J157" s="34" t="str">
        <f>IF(E157="","",raw_data!C149)</f>
        <v/>
      </c>
      <c r="K157" s="46"/>
      <c r="L157" s="87"/>
      <c r="M157" s="19" t="str">
        <f>IF(E157="","",raw_data!F149)</f>
        <v/>
      </c>
      <c r="N157" s="20" t="str">
        <f t="shared" si="10"/>
        <v/>
      </c>
      <c r="O157" s="90"/>
      <c r="P157" s="91"/>
      <c r="Q157" s="91"/>
      <c r="R157" s="91"/>
      <c r="S157" s="41" t="str">
        <f t="shared" si="9"/>
        <v/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2.75" customHeight="1" x14ac:dyDescent="0.2">
      <c r="A158" s="9">
        <v>14008</v>
      </c>
      <c r="B158" s="9" t="s">
        <v>68</v>
      </c>
      <c r="C158" s="9" t="s">
        <v>9</v>
      </c>
      <c r="D158" s="23"/>
      <c r="E158" s="42"/>
      <c r="F158" s="43"/>
      <c r="G158" s="42"/>
      <c r="H158" s="43"/>
      <c r="I158" s="25" t="s">
        <v>15</v>
      </c>
      <c r="J158" s="34" t="str">
        <f>IF(E158="","",raw_data!C150)</f>
        <v/>
      </c>
      <c r="K158" s="46"/>
      <c r="L158" s="87"/>
      <c r="M158" s="19" t="str">
        <f>IF(E158="","",raw_data!F150)</f>
        <v/>
      </c>
      <c r="N158" s="20" t="str">
        <f t="shared" si="10"/>
        <v/>
      </c>
      <c r="O158" s="90"/>
      <c r="P158" s="91"/>
      <c r="Q158" s="91"/>
      <c r="R158" s="91"/>
      <c r="S158" s="41" t="str">
        <f t="shared" si="9"/>
        <v/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2.75" customHeight="1" x14ac:dyDescent="0.2">
      <c r="A159" s="9">
        <v>14009</v>
      </c>
      <c r="B159" s="9" t="s">
        <v>68</v>
      </c>
      <c r="C159" s="9" t="s">
        <v>71</v>
      </c>
      <c r="D159" s="23"/>
      <c r="E159" s="42"/>
      <c r="F159" s="43"/>
      <c r="G159" s="42"/>
      <c r="H159" s="43"/>
      <c r="I159" s="25" t="s">
        <v>15</v>
      </c>
      <c r="J159" s="34" t="str">
        <f>IF(E159="","",raw_data!C151)</f>
        <v/>
      </c>
      <c r="K159" s="46"/>
      <c r="L159" s="87"/>
      <c r="M159" s="19" t="str">
        <f>IF(E159="","",raw_data!F151)</f>
        <v/>
      </c>
      <c r="N159" s="20" t="str">
        <f t="shared" si="10"/>
        <v/>
      </c>
      <c r="O159" s="90"/>
      <c r="P159" s="91"/>
      <c r="Q159" s="91"/>
      <c r="R159" s="91"/>
      <c r="S159" s="41" t="str">
        <f t="shared" si="9"/>
        <v/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2.75" customHeight="1" x14ac:dyDescent="0.2">
      <c r="A160" s="9">
        <v>15001</v>
      </c>
      <c r="B160" s="9" t="s">
        <v>72</v>
      </c>
      <c r="C160" s="9" t="s">
        <v>19</v>
      </c>
      <c r="D160" s="23"/>
      <c r="E160" s="42"/>
      <c r="F160" s="43"/>
      <c r="G160" s="42"/>
      <c r="H160" s="43"/>
      <c r="I160" s="25" t="s">
        <v>15</v>
      </c>
      <c r="J160" s="34" t="str">
        <f>IF(E160="","",raw_data!C152)</f>
        <v/>
      </c>
      <c r="K160" s="46"/>
      <c r="L160" s="87"/>
      <c r="M160" s="19" t="str">
        <f>IF(E160="","",raw_data!F152)</f>
        <v/>
      </c>
      <c r="N160" s="20" t="str">
        <f t="shared" si="10"/>
        <v/>
      </c>
      <c r="O160" s="90"/>
      <c r="P160" s="91"/>
      <c r="Q160" s="91"/>
      <c r="R160" s="91"/>
      <c r="S160" s="41" t="str">
        <f t="shared" si="9"/>
        <v/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2.75" customHeight="1" x14ac:dyDescent="0.2">
      <c r="A161" s="9">
        <v>15002</v>
      </c>
      <c r="B161" s="9" t="s">
        <v>72</v>
      </c>
      <c r="C161" s="9" t="s">
        <v>6</v>
      </c>
      <c r="D161" s="23"/>
      <c r="E161" s="42"/>
      <c r="F161" s="43"/>
      <c r="G161" s="42"/>
      <c r="H161" s="43"/>
      <c r="I161" s="25" t="s">
        <v>15</v>
      </c>
      <c r="J161" s="34" t="str">
        <f>IF(E161="","",raw_data!C153)</f>
        <v/>
      </c>
      <c r="K161" s="46"/>
      <c r="L161" s="87"/>
      <c r="M161" s="19" t="str">
        <f>IF(E161="","",raw_data!F153)</f>
        <v/>
      </c>
      <c r="N161" s="20" t="str">
        <f t="shared" si="10"/>
        <v/>
      </c>
      <c r="O161" s="90"/>
      <c r="P161" s="91"/>
      <c r="Q161" s="91"/>
      <c r="R161" s="91"/>
      <c r="S161" s="41" t="str">
        <f t="shared" si="9"/>
        <v/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2.75" customHeight="1" x14ac:dyDescent="0.2">
      <c r="A162" s="9">
        <v>15003</v>
      </c>
      <c r="B162" s="9" t="s">
        <v>72</v>
      </c>
      <c r="C162" s="9" t="s">
        <v>160</v>
      </c>
      <c r="D162" s="23"/>
      <c r="E162" s="42"/>
      <c r="F162" s="43"/>
      <c r="G162" s="42"/>
      <c r="H162" s="43"/>
      <c r="I162" s="25" t="s">
        <v>15</v>
      </c>
      <c r="J162" s="34" t="str">
        <f>IF(E162="","",raw_data!C154)</f>
        <v/>
      </c>
      <c r="K162" s="46"/>
      <c r="L162" s="87"/>
      <c r="M162" s="19" t="str">
        <f>IF(E162="","",raw_data!F154)</f>
        <v/>
      </c>
      <c r="N162" s="20" t="str">
        <f t="shared" si="10"/>
        <v/>
      </c>
      <c r="O162" s="90"/>
      <c r="P162" s="91"/>
      <c r="Q162" s="91"/>
      <c r="R162" s="91"/>
      <c r="S162" s="41" t="str">
        <f t="shared" si="9"/>
        <v/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2.75" customHeight="1" x14ac:dyDescent="0.2">
      <c r="A163" s="9">
        <v>15004</v>
      </c>
      <c r="B163" s="9" t="s">
        <v>72</v>
      </c>
      <c r="C163" s="9" t="s">
        <v>161</v>
      </c>
      <c r="D163" s="23"/>
      <c r="E163" s="42"/>
      <c r="F163" s="43"/>
      <c r="G163" s="42"/>
      <c r="H163" s="43"/>
      <c r="I163" s="25" t="s">
        <v>15</v>
      </c>
      <c r="J163" s="34" t="str">
        <f>IF(E163="","",raw_data!C155)</f>
        <v/>
      </c>
      <c r="K163" s="46"/>
      <c r="L163" s="87"/>
      <c r="M163" s="19" t="str">
        <f>IF(E163="","",raw_data!F155)</f>
        <v/>
      </c>
      <c r="N163" s="20" t="str">
        <f t="shared" si="10"/>
        <v/>
      </c>
      <c r="O163" s="90"/>
      <c r="P163" s="91"/>
      <c r="Q163" s="91"/>
      <c r="R163" s="91"/>
      <c r="S163" s="41" t="str">
        <f t="shared" si="9"/>
        <v/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2.75" customHeight="1" x14ac:dyDescent="0.2">
      <c r="A164" s="9">
        <v>15005</v>
      </c>
      <c r="B164" s="9" t="s">
        <v>72</v>
      </c>
      <c r="C164" s="9" t="s">
        <v>162</v>
      </c>
      <c r="D164" s="23"/>
      <c r="E164" s="42"/>
      <c r="F164" s="43"/>
      <c r="G164" s="42"/>
      <c r="H164" s="43"/>
      <c r="I164" s="25" t="s">
        <v>15</v>
      </c>
      <c r="J164" s="34" t="str">
        <f>IF(E164="","",raw_data!C156)</f>
        <v/>
      </c>
      <c r="K164" s="46"/>
      <c r="L164" s="87"/>
      <c r="M164" s="19" t="str">
        <f>IF(E164="","",raw_data!F156)</f>
        <v/>
      </c>
      <c r="N164" s="20" t="str">
        <f t="shared" si="10"/>
        <v/>
      </c>
      <c r="O164" s="90"/>
      <c r="P164" s="91"/>
      <c r="Q164" s="91"/>
      <c r="R164" s="91"/>
      <c r="S164" s="41" t="str">
        <f t="shared" si="9"/>
        <v/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2.75" customHeight="1" x14ac:dyDescent="0.2">
      <c r="A165" s="9">
        <v>15006</v>
      </c>
      <c r="B165" s="9" t="s">
        <v>72</v>
      </c>
      <c r="C165" s="9" t="s">
        <v>9</v>
      </c>
      <c r="D165" s="23"/>
      <c r="E165" s="42"/>
      <c r="F165" s="43"/>
      <c r="G165" s="42"/>
      <c r="H165" s="43"/>
      <c r="I165" s="25" t="s">
        <v>15</v>
      </c>
      <c r="J165" s="34" t="str">
        <f>IF(E165="","",raw_data!C157)</f>
        <v/>
      </c>
      <c r="K165" s="46"/>
      <c r="L165" s="87"/>
      <c r="M165" s="19" t="str">
        <f>IF(E165="","",raw_data!F157)</f>
        <v/>
      </c>
      <c r="N165" s="20" t="str">
        <f t="shared" si="10"/>
        <v/>
      </c>
      <c r="O165" s="90"/>
      <c r="P165" s="91"/>
      <c r="Q165" s="91"/>
      <c r="R165" s="91"/>
      <c r="S165" s="41" t="str">
        <f t="shared" si="9"/>
        <v/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2.75" customHeight="1" x14ac:dyDescent="0.2">
      <c r="A166" s="9">
        <v>15007</v>
      </c>
      <c r="B166" s="9" t="s">
        <v>73</v>
      </c>
      <c r="C166" s="9" t="s">
        <v>160</v>
      </c>
      <c r="D166" s="23"/>
      <c r="E166" s="42"/>
      <c r="F166" s="43"/>
      <c r="G166" s="42"/>
      <c r="H166" s="43"/>
      <c r="I166" s="25" t="s">
        <v>15</v>
      </c>
      <c r="J166" s="34" t="str">
        <f>IF(E166="","",raw_data!C158)</f>
        <v/>
      </c>
      <c r="K166" s="46"/>
      <c r="L166" s="87"/>
      <c r="M166" s="19" t="str">
        <f>IF(E166="","",raw_data!F158)</f>
        <v/>
      </c>
      <c r="N166" s="20" t="str">
        <f t="shared" si="10"/>
        <v/>
      </c>
      <c r="O166" s="90"/>
      <c r="P166" s="91"/>
      <c r="Q166" s="91"/>
      <c r="R166" s="91"/>
      <c r="S166" s="41" t="str">
        <f t="shared" si="9"/>
        <v/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2.75" customHeight="1" x14ac:dyDescent="0.2">
      <c r="A167" s="9">
        <v>15008</v>
      </c>
      <c r="B167" s="9" t="s">
        <v>73</v>
      </c>
      <c r="C167" s="9" t="s">
        <v>161</v>
      </c>
      <c r="D167" s="23"/>
      <c r="E167" s="42"/>
      <c r="F167" s="43"/>
      <c r="G167" s="42"/>
      <c r="H167" s="43"/>
      <c r="I167" s="25" t="s">
        <v>15</v>
      </c>
      <c r="J167" s="34" t="str">
        <f>IF(E167="","",raw_data!C159)</f>
        <v/>
      </c>
      <c r="K167" s="46"/>
      <c r="L167" s="87"/>
      <c r="M167" s="19" t="str">
        <f>IF(E167="","",raw_data!F159)</f>
        <v/>
      </c>
      <c r="N167" s="20" t="str">
        <f t="shared" si="10"/>
        <v/>
      </c>
      <c r="O167" s="90"/>
      <c r="P167" s="91"/>
      <c r="Q167" s="91"/>
      <c r="R167" s="91"/>
      <c r="S167" s="41" t="str">
        <f t="shared" si="9"/>
        <v/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2.75" customHeight="1" x14ac:dyDescent="0.2">
      <c r="A168" s="9">
        <v>15009</v>
      </c>
      <c r="B168" s="9" t="s">
        <v>73</v>
      </c>
      <c r="C168" s="9" t="s">
        <v>162</v>
      </c>
      <c r="D168" s="23"/>
      <c r="E168" s="42"/>
      <c r="F168" s="43"/>
      <c r="G168" s="42"/>
      <c r="H168" s="43"/>
      <c r="I168" s="25" t="s">
        <v>15</v>
      </c>
      <c r="J168" s="34" t="str">
        <f>IF(E168="","",raw_data!C160)</f>
        <v/>
      </c>
      <c r="K168" s="46"/>
      <c r="L168" s="87"/>
      <c r="M168" s="19" t="str">
        <f>IF(E168="","",raw_data!F160)</f>
        <v/>
      </c>
      <c r="N168" s="20" t="str">
        <f t="shared" si="10"/>
        <v/>
      </c>
      <c r="O168" s="90"/>
      <c r="P168" s="91"/>
      <c r="Q168" s="91"/>
      <c r="R168" s="91"/>
      <c r="S168" s="41" t="str">
        <f t="shared" si="9"/>
        <v/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2.75" customHeight="1" x14ac:dyDescent="0.2">
      <c r="A169" s="9">
        <v>15010</v>
      </c>
      <c r="B169" s="9" t="s">
        <v>73</v>
      </c>
      <c r="C169" s="9" t="s">
        <v>9</v>
      </c>
      <c r="D169" s="23"/>
      <c r="E169" s="42"/>
      <c r="F169" s="43"/>
      <c r="G169" s="42"/>
      <c r="H169" s="43"/>
      <c r="I169" s="25" t="s">
        <v>15</v>
      </c>
      <c r="J169" s="34" t="str">
        <f>IF(E169="","",raw_data!C161)</f>
        <v/>
      </c>
      <c r="K169" s="46"/>
      <c r="L169" s="87"/>
      <c r="M169" s="19" t="str">
        <f>IF(E169="","",raw_data!F161)</f>
        <v/>
      </c>
      <c r="N169" s="20" t="str">
        <f t="shared" si="10"/>
        <v/>
      </c>
      <c r="O169" s="90"/>
      <c r="P169" s="91"/>
      <c r="Q169" s="91"/>
      <c r="R169" s="91"/>
      <c r="S169" s="41" t="str">
        <f t="shared" si="9"/>
        <v/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2.75" customHeight="1" x14ac:dyDescent="0.2">
      <c r="A170" s="9">
        <v>15011</v>
      </c>
      <c r="B170" s="9" t="s">
        <v>73</v>
      </c>
      <c r="C170" s="9" t="s">
        <v>74</v>
      </c>
      <c r="D170" s="23"/>
      <c r="E170" s="42"/>
      <c r="F170" s="43"/>
      <c r="G170" s="42"/>
      <c r="H170" s="43"/>
      <c r="I170" s="25" t="s">
        <v>15</v>
      </c>
      <c r="J170" s="34" t="str">
        <f>IF(E170="","",raw_data!C162)</f>
        <v/>
      </c>
      <c r="K170" s="46"/>
      <c r="L170" s="87"/>
      <c r="M170" s="19" t="str">
        <f>IF(E170="","",raw_data!F162)</f>
        <v/>
      </c>
      <c r="N170" s="20" t="str">
        <f t="shared" si="10"/>
        <v/>
      </c>
      <c r="O170" s="90"/>
      <c r="P170" s="91"/>
      <c r="Q170" s="91"/>
      <c r="R170" s="91"/>
      <c r="S170" s="41" t="str">
        <f t="shared" si="9"/>
        <v/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2.75" customHeight="1" x14ac:dyDescent="0.2">
      <c r="A171" s="9">
        <v>15012</v>
      </c>
      <c r="B171" s="9" t="s">
        <v>73</v>
      </c>
      <c r="C171" s="9" t="s">
        <v>192</v>
      </c>
      <c r="D171" s="23"/>
      <c r="E171" s="42"/>
      <c r="F171" s="43"/>
      <c r="G171" s="42"/>
      <c r="H171" s="43"/>
      <c r="I171" s="25" t="s">
        <v>15</v>
      </c>
      <c r="J171" s="34" t="str">
        <f>IF(E171="","",raw_data!C163)</f>
        <v/>
      </c>
      <c r="K171" s="46"/>
      <c r="L171" s="87"/>
      <c r="M171" s="19" t="str">
        <f>IF(E171="","",raw_data!F163)</f>
        <v/>
      </c>
      <c r="N171" s="20" t="str">
        <f t="shared" si="10"/>
        <v/>
      </c>
      <c r="O171" s="90"/>
      <c r="P171" s="91"/>
      <c r="Q171" s="91"/>
      <c r="R171" s="91"/>
      <c r="S171" s="41" t="str">
        <f t="shared" si="9"/>
        <v/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2.75" customHeight="1" x14ac:dyDescent="0.2">
      <c r="A172" s="9">
        <v>15013</v>
      </c>
      <c r="B172" s="9" t="s">
        <v>73</v>
      </c>
      <c r="C172" s="9" t="s">
        <v>75</v>
      </c>
      <c r="D172" s="23"/>
      <c r="E172" s="42"/>
      <c r="F172" s="43"/>
      <c r="G172" s="42"/>
      <c r="H172" s="43"/>
      <c r="I172" s="25" t="s">
        <v>15</v>
      </c>
      <c r="J172" s="34" t="str">
        <f>IF(E172="","",raw_data!C164)</f>
        <v/>
      </c>
      <c r="K172" s="46"/>
      <c r="L172" s="87"/>
      <c r="M172" s="19" t="str">
        <f>IF(E172="","",raw_data!F164)</f>
        <v/>
      </c>
      <c r="N172" s="20" t="str">
        <f t="shared" si="10"/>
        <v/>
      </c>
      <c r="O172" s="90"/>
      <c r="P172" s="91"/>
      <c r="Q172" s="91"/>
      <c r="R172" s="91"/>
      <c r="S172" s="41" t="str">
        <f t="shared" si="9"/>
        <v/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2.75" customHeight="1" x14ac:dyDescent="0.2">
      <c r="A173" s="9">
        <v>15014</v>
      </c>
      <c r="B173" s="9" t="s">
        <v>73</v>
      </c>
      <c r="C173" s="9" t="s">
        <v>76</v>
      </c>
      <c r="D173" s="23"/>
      <c r="E173" s="42"/>
      <c r="F173" s="43"/>
      <c r="G173" s="42"/>
      <c r="H173" s="43"/>
      <c r="I173" s="25" t="s">
        <v>15</v>
      </c>
      <c r="J173" s="34" t="str">
        <f>IF(E173="","",raw_data!C165)</f>
        <v/>
      </c>
      <c r="K173" s="46"/>
      <c r="L173" s="87"/>
      <c r="M173" s="19" t="str">
        <f>IF(E173="","",raw_data!F165)</f>
        <v/>
      </c>
      <c r="N173" s="20" t="str">
        <f t="shared" si="10"/>
        <v/>
      </c>
      <c r="O173" s="90"/>
      <c r="P173" s="91"/>
      <c r="Q173" s="91"/>
      <c r="R173" s="91"/>
      <c r="S173" s="41" t="str">
        <f t="shared" si="9"/>
        <v/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2.75" customHeight="1" x14ac:dyDescent="0.2">
      <c r="A174" s="9">
        <v>16001</v>
      </c>
      <c r="B174" s="9" t="s">
        <v>126</v>
      </c>
      <c r="C174" s="9" t="s">
        <v>201</v>
      </c>
      <c r="D174" s="23"/>
      <c r="E174" s="42"/>
      <c r="F174" s="43"/>
      <c r="G174" s="42"/>
      <c r="H174" s="43"/>
      <c r="I174" s="25" t="s">
        <v>30</v>
      </c>
      <c r="J174" s="34" t="str">
        <f>IF(E174="","",raw_data!C166)</f>
        <v/>
      </c>
      <c r="K174" s="46"/>
      <c r="L174" s="87"/>
      <c r="M174" s="19" t="str">
        <f>IF(E174="","",raw_data!F166)</f>
        <v/>
      </c>
      <c r="N174" s="20" t="str">
        <f t="shared" si="10"/>
        <v/>
      </c>
      <c r="O174" s="90"/>
      <c r="P174" s="91"/>
      <c r="Q174" s="91"/>
      <c r="R174" s="91"/>
      <c r="S174" s="41" t="str">
        <f t="shared" si="9"/>
        <v/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2.75" customHeight="1" x14ac:dyDescent="0.2">
      <c r="A175" s="9">
        <v>16002</v>
      </c>
      <c r="B175" s="9" t="s">
        <v>126</v>
      </c>
      <c r="C175" s="9" t="s">
        <v>127</v>
      </c>
      <c r="D175" s="23"/>
      <c r="E175" s="42"/>
      <c r="F175" s="43"/>
      <c r="G175" s="42"/>
      <c r="H175" s="43"/>
      <c r="I175" s="25" t="s">
        <v>30</v>
      </c>
      <c r="J175" s="34" t="str">
        <f>IF(E175="","",raw_data!C167)</f>
        <v/>
      </c>
      <c r="K175" s="46"/>
      <c r="L175" s="87"/>
      <c r="M175" s="19" t="str">
        <f>IF(E175="","",raw_data!F167)</f>
        <v/>
      </c>
      <c r="N175" s="20" t="str">
        <f t="shared" si="10"/>
        <v/>
      </c>
      <c r="O175" s="90"/>
      <c r="P175" s="91"/>
      <c r="Q175" s="91"/>
      <c r="R175" s="91"/>
      <c r="S175" s="41" t="str">
        <f t="shared" si="9"/>
        <v/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2.75" customHeight="1" x14ac:dyDescent="0.2">
      <c r="A176" s="9">
        <v>16003</v>
      </c>
      <c r="B176" s="9" t="s">
        <v>126</v>
      </c>
      <c r="C176" s="9" t="s">
        <v>202</v>
      </c>
      <c r="D176" s="23"/>
      <c r="E176" s="42"/>
      <c r="F176" s="43"/>
      <c r="G176" s="42"/>
      <c r="H176" s="43"/>
      <c r="I176" s="25" t="s">
        <v>30</v>
      </c>
      <c r="J176" s="34" t="str">
        <f>IF(E176="","",raw_data!C168)</f>
        <v/>
      </c>
      <c r="K176" s="46"/>
      <c r="L176" s="87"/>
      <c r="M176" s="19" t="str">
        <f>IF(E176="","",raw_data!F168)</f>
        <v/>
      </c>
      <c r="N176" s="20" t="str">
        <f t="shared" si="10"/>
        <v/>
      </c>
      <c r="O176" s="90"/>
      <c r="P176" s="91"/>
      <c r="Q176" s="91"/>
      <c r="R176" s="91"/>
      <c r="S176" s="41" t="str">
        <f t="shared" si="9"/>
        <v/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2.75" customHeight="1" x14ac:dyDescent="0.2">
      <c r="A177" s="9">
        <v>16004</v>
      </c>
      <c r="B177" s="9" t="s">
        <v>126</v>
      </c>
      <c r="C177" s="9" t="s">
        <v>203</v>
      </c>
      <c r="D177" s="23"/>
      <c r="E177" s="42"/>
      <c r="F177" s="43"/>
      <c r="G177" s="42"/>
      <c r="H177" s="43"/>
      <c r="I177" s="25" t="s">
        <v>30</v>
      </c>
      <c r="J177" s="34" t="str">
        <f>IF(E177="","",raw_data!C169)</f>
        <v/>
      </c>
      <c r="K177" s="46"/>
      <c r="L177" s="87"/>
      <c r="M177" s="19" t="str">
        <f>IF(E177="","",raw_data!F169)</f>
        <v/>
      </c>
      <c r="N177" s="20" t="str">
        <f t="shared" si="10"/>
        <v/>
      </c>
      <c r="O177" s="90"/>
      <c r="P177" s="91"/>
      <c r="Q177" s="91"/>
      <c r="R177" s="91"/>
      <c r="S177" s="41" t="str">
        <f t="shared" si="9"/>
        <v/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2.75" customHeight="1" x14ac:dyDescent="0.2">
      <c r="A178" s="9">
        <v>16005</v>
      </c>
      <c r="B178" s="9" t="s">
        <v>126</v>
      </c>
      <c r="C178" s="9" t="s">
        <v>204</v>
      </c>
      <c r="D178" s="23"/>
      <c r="E178" s="42"/>
      <c r="F178" s="43"/>
      <c r="G178" s="42"/>
      <c r="H178" s="43"/>
      <c r="I178" s="25" t="s">
        <v>30</v>
      </c>
      <c r="J178" s="34" t="str">
        <f>IF(E178="","",raw_data!C170)</f>
        <v/>
      </c>
      <c r="K178" s="46"/>
      <c r="L178" s="87"/>
      <c r="M178" s="19" t="str">
        <f>IF(E178="","",raw_data!F170)</f>
        <v/>
      </c>
      <c r="N178" s="20" t="str">
        <f t="shared" si="10"/>
        <v/>
      </c>
      <c r="O178" s="90"/>
      <c r="P178" s="91"/>
      <c r="Q178" s="91"/>
      <c r="R178" s="91"/>
      <c r="S178" s="41" t="str">
        <f t="shared" si="9"/>
        <v/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2.75" customHeight="1" x14ac:dyDescent="0.2">
      <c r="A179" s="9">
        <v>16006</v>
      </c>
      <c r="B179" s="9" t="s">
        <v>126</v>
      </c>
      <c r="C179" s="9" t="s">
        <v>205</v>
      </c>
      <c r="D179" s="23"/>
      <c r="E179" s="42"/>
      <c r="F179" s="43"/>
      <c r="G179" s="42"/>
      <c r="H179" s="43"/>
      <c r="I179" s="25" t="s">
        <v>30</v>
      </c>
      <c r="J179" s="34" t="str">
        <f>IF(E179="","",raw_data!C171)</f>
        <v/>
      </c>
      <c r="K179" s="46"/>
      <c r="L179" s="87"/>
      <c r="M179" s="19" t="str">
        <f>IF(E179="","",raw_data!F171)</f>
        <v/>
      </c>
      <c r="N179" s="20" t="str">
        <f t="shared" si="10"/>
        <v/>
      </c>
      <c r="O179" s="90"/>
      <c r="P179" s="91"/>
      <c r="Q179" s="91"/>
      <c r="R179" s="91"/>
      <c r="S179" s="41" t="str">
        <f t="shared" si="9"/>
        <v/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2.75" customHeight="1" x14ac:dyDescent="0.2">
      <c r="A180" s="9">
        <v>16007</v>
      </c>
      <c r="B180" s="9" t="s">
        <v>126</v>
      </c>
      <c r="C180" s="9" t="s">
        <v>206</v>
      </c>
      <c r="D180" s="23"/>
      <c r="E180" s="42"/>
      <c r="F180" s="43"/>
      <c r="G180" s="42"/>
      <c r="H180" s="43"/>
      <c r="I180" s="25" t="s">
        <v>30</v>
      </c>
      <c r="J180" s="34" t="str">
        <f>IF(E180="","",raw_data!C172)</f>
        <v/>
      </c>
      <c r="K180" s="46"/>
      <c r="L180" s="87"/>
      <c r="M180" s="19" t="str">
        <f>IF(E180="","",raw_data!F172)</f>
        <v/>
      </c>
      <c r="N180" s="20" t="str">
        <f t="shared" si="10"/>
        <v/>
      </c>
      <c r="O180" s="90"/>
      <c r="P180" s="91"/>
      <c r="Q180" s="91"/>
      <c r="R180" s="91"/>
      <c r="S180" s="41" t="str">
        <f t="shared" si="9"/>
        <v/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2.75" customHeight="1" x14ac:dyDescent="0.2">
      <c r="A181" s="9">
        <v>16008</v>
      </c>
      <c r="B181" s="9" t="s">
        <v>126</v>
      </c>
      <c r="C181" s="9" t="s">
        <v>207</v>
      </c>
      <c r="D181" s="23"/>
      <c r="E181" s="42"/>
      <c r="F181" s="43"/>
      <c r="G181" s="42"/>
      <c r="H181" s="43"/>
      <c r="I181" s="25" t="s">
        <v>30</v>
      </c>
      <c r="J181" s="34" t="str">
        <f>IF(E181="","",raw_data!C173)</f>
        <v/>
      </c>
      <c r="K181" s="46"/>
      <c r="L181" s="87"/>
      <c r="M181" s="19" t="str">
        <f>IF(E181="","",raw_data!F173)</f>
        <v/>
      </c>
      <c r="N181" s="20" t="str">
        <f t="shared" si="10"/>
        <v/>
      </c>
      <c r="O181" s="90"/>
      <c r="P181" s="91"/>
      <c r="Q181" s="91"/>
      <c r="R181" s="91"/>
      <c r="S181" s="41" t="str">
        <f t="shared" si="9"/>
        <v/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2.75" customHeight="1" x14ac:dyDescent="0.2">
      <c r="A182" s="9">
        <v>16009</v>
      </c>
      <c r="B182" s="9" t="s">
        <v>126</v>
      </c>
      <c r="C182" s="9" t="s">
        <v>208</v>
      </c>
      <c r="D182" s="23"/>
      <c r="E182" s="42"/>
      <c r="F182" s="43"/>
      <c r="G182" s="42"/>
      <c r="H182" s="43"/>
      <c r="I182" s="25" t="s">
        <v>30</v>
      </c>
      <c r="J182" s="34" t="str">
        <f>IF(E182="","",raw_data!C174)</f>
        <v/>
      </c>
      <c r="K182" s="46"/>
      <c r="L182" s="87"/>
      <c r="M182" s="19" t="str">
        <f>IF(E182="","",raw_data!F174)</f>
        <v/>
      </c>
      <c r="N182" s="20" t="str">
        <f t="shared" si="10"/>
        <v/>
      </c>
      <c r="O182" s="90"/>
      <c r="P182" s="91"/>
      <c r="Q182" s="91"/>
      <c r="R182" s="91"/>
      <c r="S182" s="41" t="str">
        <f t="shared" si="9"/>
        <v/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2.75" customHeight="1" x14ac:dyDescent="0.2">
      <c r="A183" s="9">
        <v>16010</v>
      </c>
      <c r="B183" s="9" t="s">
        <v>126</v>
      </c>
      <c r="C183" s="9" t="s">
        <v>209</v>
      </c>
      <c r="D183" s="23"/>
      <c r="E183" s="42"/>
      <c r="F183" s="43"/>
      <c r="G183" s="42"/>
      <c r="H183" s="43"/>
      <c r="I183" s="25" t="s">
        <v>30</v>
      </c>
      <c r="J183" s="34" t="str">
        <f>IF(E183="","",raw_data!C175)</f>
        <v/>
      </c>
      <c r="K183" s="46"/>
      <c r="L183" s="87"/>
      <c r="M183" s="19" t="str">
        <f>IF(E183="","",raw_data!F175)</f>
        <v/>
      </c>
      <c r="N183" s="20" t="str">
        <f t="shared" si="10"/>
        <v/>
      </c>
      <c r="O183" s="90"/>
      <c r="P183" s="91"/>
      <c r="Q183" s="91"/>
      <c r="R183" s="91"/>
      <c r="S183" s="41" t="str">
        <f t="shared" si="9"/>
        <v/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2.75" customHeight="1" x14ac:dyDescent="0.2">
      <c r="A184" s="9">
        <v>16011</v>
      </c>
      <c r="B184" s="9" t="s">
        <v>126</v>
      </c>
      <c r="C184" s="9" t="s">
        <v>19</v>
      </c>
      <c r="D184" s="23"/>
      <c r="E184" s="42"/>
      <c r="F184" s="43"/>
      <c r="G184" s="42"/>
      <c r="H184" s="43"/>
      <c r="I184" s="25" t="s">
        <v>30</v>
      </c>
      <c r="J184" s="34" t="str">
        <f>IF(E184="","",raw_data!C176)</f>
        <v/>
      </c>
      <c r="K184" s="46"/>
      <c r="L184" s="87"/>
      <c r="M184" s="19" t="str">
        <f>IF(E184="","",raw_data!F176)</f>
        <v/>
      </c>
      <c r="N184" s="20" t="str">
        <f t="shared" si="10"/>
        <v/>
      </c>
      <c r="O184" s="90"/>
      <c r="P184" s="91"/>
      <c r="Q184" s="91"/>
      <c r="R184" s="91"/>
      <c r="S184" s="41" t="str">
        <f t="shared" si="9"/>
        <v/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2.75" customHeight="1" x14ac:dyDescent="0.2">
      <c r="A185" s="9">
        <v>16012</v>
      </c>
      <c r="B185" s="9" t="s">
        <v>126</v>
      </c>
      <c r="C185" s="9" t="s">
        <v>6</v>
      </c>
      <c r="D185" s="23"/>
      <c r="E185" s="42"/>
      <c r="F185" s="43"/>
      <c r="G185" s="42"/>
      <c r="H185" s="43"/>
      <c r="I185" s="25" t="s">
        <v>30</v>
      </c>
      <c r="J185" s="34" t="str">
        <f>IF(E185="","",raw_data!C177)</f>
        <v/>
      </c>
      <c r="K185" s="46"/>
      <c r="L185" s="87"/>
      <c r="M185" s="19" t="str">
        <f>IF(E185="","",raw_data!F177)</f>
        <v/>
      </c>
      <c r="N185" s="20" t="str">
        <f t="shared" si="10"/>
        <v/>
      </c>
      <c r="O185" s="90"/>
      <c r="P185" s="91"/>
      <c r="Q185" s="91"/>
      <c r="R185" s="91"/>
      <c r="S185" s="41" t="str">
        <f t="shared" si="9"/>
        <v/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2.75" customHeight="1" x14ac:dyDescent="0.2">
      <c r="A186" s="9">
        <v>16013</v>
      </c>
      <c r="B186" s="9" t="s">
        <v>126</v>
      </c>
      <c r="C186" s="9" t="s">
        <v>160</v>
      </c>
      <c r="D186" s="23"/>
      <c r="E186" s="42"/>
      <c r="F186" s="43"/>
      <c r="G186" s="42"/>
      <c r="H186" s="43"/>
      <c r="I186" s="25" t="s">
        <v>30</v>
      </c>
      <c r="J186" s="34" t="str">
        <f>IF(E186="","",raw_data!C178)</f>
        <v/>
      </c>
      <c r="K186" s="46"/>
      <c r="L186" s="87"/>
      <c r="M186" s="19" t="str">
        <f>IF(E186="","",raw_data!F178)</f>
        <v/>
      </c>
      <c r="N186" s="20" t="str">
        <f t="shared" si="10"/>
        <v/>
      </c>
      <c r="O186" s="90"/>
      <c r="P186" s="91"/>
      <c r="Q186" s="91"/>
      <c r="R186" s="91"/>
      <c r="S186" s="41" t="str">
        <f t="shared" si="9"/>
        <v/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2.75" customHeight="1" x14ac:dyDescent="0.2">
      <c r="A187" s="9">
        <v>16014</v>
      </c>
      <c r="B187" s="9" t="s">
        <v>126</v>
      </c>
      <c r="C187" s="9" t="s">
        <v>161</v>
      </c>
      <c r="D187" s="23"/>
      <c r="E187" s="42"/>
      <c r="F187" s="43"/>
      <c r="G187" s="42"/>
      <c r="H187" s="43"/>
      <c r="I187" s="25" t="s">
        <v>30</v>
      </c>
      <c r="J187" s="34" t="str">
        <f>IF(E187="","",raw_data!C179)</f>
        <v/>
      </c>
      <c r="K187" s="46"/>
      <c r="L187" s="87"/>
      <c r="M187" s="19" t="str">
        <f>IF(E187="","",raw_data!F179)</f>
        <v/>
      </c>
      <c r="N187" s="20" t="str">
        <f t="shared" si="10"/>
        <v/>
      </c>
      <c r="O187" s="90"/>
      <c r="P187" s="91"/>
      <c r="Q187" s="91"/>
      <c r="R187" s="91"/>
      <c r="S187" s="41" t="str">
        <f t="shared" si="9"/>
        <v/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2.75" customHeight="1" x14ac:dyDescent="0.2">
      <c r="A188" s="9" t="s">
        <v>426</v>
      </c>
      <c r="B188" s="9" t="s">
        <v>126</v>
      </c>
      <c r="C188" s="9" t="s">
        <v>210</v>
      </c>
      <c r="D188" s="23"/>
      <c r="E188" s="42"/>
      <c r="F188" s="43"/>
      <c r="G188" s="42"/>
      <c r="H188" s="43"/>
      <c r="I188" s="25" t="s">
        <v>30</v>
      </c>
      <c r="J188" s="34" t="str">
        <f>IF(E188="","",raw_data!C180)</f>
        <v/>
      </c>
      <c r="K188" s="46"/>
      <c r="L188" s="87"/>
      <c r="M188" s="19" t="str">
        <f>IF(E188="","",raw_data!F180)</f>
        <v/>
      </c>
      <c r="N188" s="20" t="str">
        <f t="shared" si="10"/>
        <v/>
      </c>
      <c r="O188" s="90"/>
      <c r="P188" s="91"/>
      <c r="Q188" s="91"/>
      <c r="R188" s="91"/>
      <c r="S188" s="41" t="str">
        <f t="shared" si="9"/>
        <v/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2.75" customHeight="1" x14ac:dyDescent="0.2">
      <c r="A189" s="9" t="s">
        <v>427</v>
      </c>
      <c r="B189" s="9" t="s">
        <v>126</v>
      </c>
      <c r="C189" s="9" t="s">
        <v>210</v>
      </c>
      <c r="D189" s="23" t="s">
        <v>377</v>
      </c>
      <c r="E189" s="42"/>
      <c r="F189" s="43"/>
      <c r="G189" s="42"/>
      <c r="H189" s="43"/>
      <c r="I189" s="25" t="s">
        <v>30</v>
      </c>
      <c r="J189" s="34" t="str">
        <f>IF(E189="","",raw_data!C181)</f>
        <v/>
      </c>
      <c r="K189" s="46"/>
      <c r="L189" s="87"/>
      <c r="M189" s="19" t="str">
        <f>IF(E189="","",raw_data!F181)</f>
        <v/>
      </c>
      <c r="N189" s="20" t="str">
        <f t="shared" si="10"/>
        <v/>
      </c>
      <c r="O189" s="90"/>
      <c r="P189" s="91"/>
      <c r="Q189" s="91"/>
      <c r="R189" s="91"/>
      <c r="S189" s="41" t="str">
        <f t="shared" si="9"/>
        <v/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2.75" customHeight="1" x14ac:dyDescent="0.2">
      <c r="A190" s="9">
        <v>16016</v>
      </c>
      <c r="B190" s="9" t="s">
        <v>126</v>
      </c>
      <c r="C190" s="9" t="s">
        <v>211</v>
      </c>
      <c r="D190" s="23"/>
      <c r="E190" s="42"/>
      <c r="F190" s="43"/>
      <c r="G190" s="42"/>
      <c r="H190" s="43"/>
      <c r="I190" s="25" t="s">
        <v>30</v>
      </c>
      <c r="J190" s="34" t="str">
        <f>IF(E190="","",raw_data!C182)</f>
        <v/>
      </c>
      <c r="K190" s="46"/>
      <c r="L190" s="87"/>
      <c r="M190" s="19" t="str">
        <f>IF(E190="","",raw_data!F182)</f>
        <v/>
      </c>
      <c r="N190" s="20" t="str">
        <f t="shared" si="10"/>
        <v/>
      </c>
      <c r="O190" s="90"/>
      <c r="P190" s="91"/>
      <c r="Q190" s="91"/>
      <c r="R190" s="91"/>
      <c r="S190" s="41" t="str">
        <f t="shared" si="9"/>
        <v/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2.75" customHeight="1" x14ac:dyDescent="0.2">
      <c r="A191" s="9">
        <v>16017</v>
      </c>
      <c r="B191" s="9" t="s">
        <v>126</v>
      </c>
      <c r="C191" s="9" t="s">
        <v>212</v>
      </c>
      <c r="D191" s="23"/>
      <c r="E191" s="42"/>
      <c r="F191" s="43"/>
      <c r="G191" s="42"/>
      <c r="H191" s="43"/>
      <c r="I191" s="25" t="s">
        <v>30</v>
      </c>
      <c r="J191" s="34" t="str">
        <f>IF(E191="","",raw_data!C183)</f>
        <v/>
      </c>
      <c r="K191" s="46"/>
      <c r="L191" s="87"/>
      <c r="M191" s="19" t="str">
        <f>IF(E191="","",raw_data!F183)</f>
        <v/>
      </c>
      <c r="N191" s="20" t="str">
        <f t="shared" si="10"/>
        <v/>
      </c>
      <c r="O191" s="90"/>
      <c r="P191" s="91"/>
      <c r="Q191" s="91"/>
      <c r="R191" s="91"/>
      <c r="S191" s="41" t="str">
        <f t="shared" si="9"/>
        <v/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2.75" customHeight="1" x14ac:dyDescent="0.2">
      <c r="A192" s="9">
        <v>16018</v>
      </c>
      <c r="B192" s="9" t="s">
        <v>126</v>
      </c>
      <c r="C192" s="9" t="s">
        <v>128</v>
      </c>
      <c r="D192" s="23"/>
      <c r="E192" s="42"/>
      <c r="F192" s="43"/>
      <c r="G192" s="42"/>
      <c r="H192" s="43"/>
      <c r="I192" s="25" t="s">
        <v>30</v>
      </c>
      <c r="J192" s="34" t="str">
        <f>IF(E192="","",raw_data!C184)</f>
        <v/>
      </c>
      <c r="K192" s="46"/>
      <c r="L192" s="87"/>
      <c r="M192" s="19" t="str">
        <f>IF(E192="","",raw_data!F184)</f>
        <v/>
      </c>
      <c r="N192" s="20" t="str">
        <f t="shared" si="10"/>
        <v/>
      </c>
      <c r="O192" s="90"/>
      <c r="P192" s="91"/>
      <c r="Q192" s="91"/>
      <c r="R192" s="91"/>
      <c r="S192" s="41" t="str">
        <f t="shared" si="9"/>
        <v/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2.75" customHeight="1" x14ac:dyDescent="0.2">
      <c r="A193" s="9" t="s">
        <v>429</v>
      </c>
      <c r="B193" s="9" t="s">
        <v>126</v>
      </c>
      <c r="C193" s="9" t="s">
        <v>213</v>
      </c>
      <c r="D193" s="23"/>
      <c r="E193" s="42"/>
      <c r="F193" s="43"/>
      <c r="G193" s="42"/>
      <c r="H193" s="43"/>
      <c r="I193" s="25" t="s">
        <v>30</v>
      </c>
      <c r="J193" s="34" t="str">
        <f>IF(E193="","",raw_data!C185)</f>
        <v/>
      </c>
      <c r="K193" s="46"/>
      <c r="L193" s="87"/>
      <c r="M193" s="19" t="str">
        <f>IF(E193="","",raw_data!F185)</f>
        <v/>
      </c>
      <c r="N193" s="20" t="str">
        <f t="shared" si="10"/>
        <v/>
      </c>
      <c r="O193" s="90"/>
      <c r="P193" s="91"/>
      <c r="Q193" s="91"/>
      <c r="R193" s="91"/>
      <c r="S193" s="41" t="str">
        <f t="shared" si="9"/>
        <v/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2.75" customHeight="1" x14ac:dyDescent="0.2">
      <c r="A194" s="9" t="s">
        <v>428</v>
      </c>
      <c r="B194" s="9" t="s">
        <v>126</v>
      </c>
      <c r="C194" s="9" t="s">
        <v>213</v>
      </c>
      <c r="D194" s="23" t="s">
        <v>377</v>
      </c>
      <c r="E194" s="42"/>
      <c r="F194" s="43"/>
      <c r="G194" s="42"/>
      <c r="H194" s="43"/>
      <c r="I194" s="25" t="s">
        <v>30</v>
      </c>
      <c r="J194" s="34" t="str">
        <f>IF(E194="","",raw_data!C186)</f>
        <v/>
      </c>
      <c r="K194" s="46"/>
      <c r="L194" s="87"/>
      <c r="M194" s="19" t="str">
        <f>IF(E194="","",raw_data!F186)</f>
        <v/>
      </c>
      <c r="N194" s="20" t="str">
        <f t="shared" si="10"/>
        <v/>
      </c>
      <c r="O194" s="90"/>
      <c r="P194" s="91"/>
      <c r="Q194" s="91"/>
      <c r="R194" s="91"/>
      <c r="S194" s="41" t="str">
        <f t="shared" si="9"/>
        <v/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2.75" customHeight="1" x14ac:dyDescent="0.2">
      <c r="A195" s="9">
        <v>16020</v>
      </c>
      <c r="B195" s="9" t="s">
        <v>126</v>
      </c>
      <c r="C195" s="9" t="s">
        <v>129</v>
      </c>
      <c r="D195" s="23"/>
      <c r="E195" s="42"/>
      <c r="F195" s="43"/>
      <c r="G195" s="42"/>
      <c r="H195" s="43"/>
      <c r="I195" s="25" t="s">
        <v>30</v>
      </c>
      <c r="J195" s="34" t="str">
        <f>IF(E195="","",raw_data!C187)</f>
        <v/>
      </c>
      <c r="K195" s="46"/>
      <c r="L195" s="87"/>
      <c r="M195" s="19" t="str">
        <f>IF(E195="","",raw_data!F187)</f>
        <v/>
      </c>
      <c r="N195" s="20" t="str">
        <f t="shared" si="10"/>
        <v/>
      </c>
      <c r="O195" s="90"/>
      <c r="P195" s="91"/>
      <c r="Q195" s="91"/>
      <c r="R195" s="91"/>
      <c r="S195" s="41" t="str">
        <f t="shared" si="9"/>
        <v/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2.75" customHeight="1" x14ac:dyDescent="0.2">
      <c r="A196" s="9">
        <v>16021</v>
      </c>
      <c r="B196" s="9" t="s">
        <v>126</v>
      </c>
      <c r="C196" s="9" t="s">
        <v>130</v>
      </c>
      <c r="D196" s="23"/>
      <c r="E196" s="42"/>
      <c r="F196" s="43"/>
      <c r="G196" s="42"/>
      <c r="H196" s="43"/>
      <c r="I196" s="25" t="s">
        <v>30</v>
      </c>
      <c r="J196" s="34" t="str">
        <f>IF(E196="","",raw_data!C188)</f>
        <v/>
      </c>
      <c r="K196" s="46"/>
      <c r="L196" s="87"/>
      <c r="M196" s="19" t="str">
        <f>IF(E196="","",raw_data!F188)</f>
        <v/>
      </c>
      <c r="N196" s="20" t="str">
        <f t="shared" si="10"/>
        <v/>
      </c>
      <c r="O196" s="90"/>
      <c r="P196" s="91"/>
      <c r="Q196" s="91"/>
      <c r="R196" s="91"/>
      <c r="S196" s="41" t="str">
        <f t="shared" si="9"/>
        <v/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2.75" customHeight="1" x14ac:dyDescent="0.2">
      <c r="A197" s="9">
        <v>16022</v>
      </c>
      <c r="B197" s="9" t="s">
        <v>126</v>
      </c>
      <c r="C197" s="9" t="s">
        <v>214</v>
      </c>
      <c r="D197" s="23"/>
      <c r="E197" s="42"/>
      <c r="F197" s="43"/>
      <c r="G197" s="42"/>
      <c r="H197" s="43"/>
      <c r="I197" s="25" t="s">
        <v>100</v>
      </c>
      <c r="J197" s="34" t="str">
        <f>IF(E197="","",raw_data!C189)</f>
        <v/>
      </c>
      <c r="K197" s="46"/>
      <c r="L197" s="87"/>
      <c r="M197" s="19" t="str">
        <f>IF(E197="","",raw_data!F189)</f>
        <v/>
      </c>
      <c r="N197" s="20" t="str">
        <f t="shared" si="10"/>
        <v/>
      </c>
      <c r="O197" s="90"/>
      <c r="P197" s="91"/>
      <c r="Q197" s="91"/>
      <c r="R197" s="91"/>
      <c r="S197" s="41" t="str">
        <f t="shared" si="9"/>
        <v/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2.75" customHeight="1" x14ac:dyDescent="0.2">
      <c r="A198" s="9">
        <v>16023</v>
      </c>
      <c r="B198" s="9" t="s">
        <v>126</v>
      </c>
      <c r="C198" s="9" t="s">
        <v>101</v>
      </c>
      <c r="D198" s="23"/>
      <c r="E198" s="42"/>
      <c r="F198" s="43"/>
      <c r="G198" s="42"/>
      <c r="H198" s="43"/>
      <c r="I198" s="25" t="s">
        <v>100</v>
      </c>
      <c r="J198" s="34" t="str">
        <f>IF(E198="","",raw_data!C190)</f>
        <v/>
      </c>
      <c r="K198" s="46"/>
      <c r="L198" s="87"/>
      <c r="M198" s="19" t="str">
        <f>IF(E198="","",raw_data!F190)</f>
        <v/>
      </c>
      <c r="N198" s="20" t="str">
        <f t="shared" si="10"/>
        <v/>
      </c>
      <c r="O198" s="90"/>
      <c r="P198" s="91"/>
      <c r="Q198" s="91"/>
      <c r="R198" s="91"/>
      <c r="S198" s="41" t="str">
        <f t="shared" si="9"/>
        <v/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2.75" customHeight="1" x14ac:dyDescent="0.2">
      <c r="A199" s="9">
        <v>16024</v>
      </c>
      <c r="B199" s="9" t="s">
        <v>126</v>
      </c>
      <c r="C199" s="9" t="s">
        <v>215</v>
      </c>
      <c r="D199" s="23"/>
      <c r="E199" s="42"/>
      <c r="F199" s="43"/>
      <c r="G199" s="42"/>
      <c r="H199" s="43"/>
      <c r="I199" s="25" t="s">
        <v>30</v>
      </c>
      <c r="J199" s="34" t="str">
        <f>IF(E199="","",raw_data!C191)</f>
        <v/>
      </c>
      <c r="K199" s="46"/>
      <c r="L199" s="87"/>
      <c r="M199" s="19" t="str">
        <f>IF(E199="","",raw_data!F191)</f>
        <v/>
      </c>
      <c r="N199" s="20" t="str">
        <f t="shared" si="10"/>
        <v/>
      </c>
      <c r="O199" s="90"/>
      <c r="P199" s="91"/>
      <c r="Q199" s="91"/>
      <c r="R199" s="91"/>
      <c r="S199" s="41" t="str">
        <f t="shared" si="9"/>
        <v/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2.75" customHeight="1" x14ac:dyDescent="0.2">
      <c r="A200" s="9">
        <v>16025</v>
      </c>
      <c r="B200" s="9" t="s">
        <v>126</v>
      </c>
      <c r="C200" s="9" t="s">
        <v>216</v>
      </c>
      <c r="D200" s="23"/>
      <c r="E200" s="42"/>
      <c r="F200" s="43"/>
      <c r="G200" s="42"/>
      <c r="H200" s="43"/>
      <c r="I200" s="25" t="s">
        <v>30</v>
      </c>
      <c r="J200" s="34" t="str">
        <f>IF(E200="","",raw_data!C192)</f>
        <v/>
      </c>
      <c r="K200" s="46"/>
      <c r="L200" s="87"/>
      <c r="M200" s="19" t="str">
        <f>IF(E200="","",raw_data!F192)</f>
        <v/>
      </c>
      <c r="N200" s="20" t="str">
        <f t="shared" si="10"/>
        <v/>
      </c>
      <c r="O200" s="90"/>
      <c r="P200" s="91"/>
      <c r="Q200" s="91"/>
      <c r="R200" s="91"/>
      <c r="S200" s="41" t="str">
        <f t="shared" si="9"/>
        <v/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2.75" customHeight="1" x14ac:dyDescent="0.2">
      <c r="A201" s="9">
        <v>16026</v>
      </c>
      <c r="B201" s="9" t="s">
        <v>126</v>
      </c>
      <c r="C201" s="9" t="s">
        <v>217</v>
      </c>
      <c r="D201" s="23"/>
      <c r="E201" s="42"/>
      <c r="F201" s="43"/>
      <c r="G201" s="42"/>
      <c r="H201" s="43"/>
      <c r="I201" s="25" t="s">
        <v>30</v>
      </c>
      <c r="J201" s="34" t="str">
        <f>IF(E201="","",raw_data!C193)</f>
        <v/>
      </c>
      <c r="K201" s="46"/>
      <c r="L201" s="87"/>
      <c r="M201" s="19" t="str">
        <f>IF(E201="","",raw_data!F193)</f>
        <v/>
      </c>
      <c r="N201" s="20" t="str">
        <f t="shared" si="10"/>
        <v/>
      </c>
      <c r="O201" s="90"/>
      <c r="P201" s="91"/>
      <c r="Q201" s="91"/>
      <c r="R201" s="91"/>
      <c r="S201" s="41" t="str">
        <f t="shared" si="9"/>
        <v/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2.75" customHeight="1" x14ac:dyDescent="0.2">
      <c r="A202" s="9">
        <v>16027</v>
      </c>
      <c r="B202" s="9" t="s">
        <v>126</v>
      </c>
      <c r="C202" s="9" t="s">
        <v>218</v>
      </c>
      <c r="D202" s="23"/>
      <c r="E202" s="42"/>
      <c r="F202" s="43"/>
      <c r="G202" s="42"/>
      <c r="H202" s="43"/>
      <c r="I202" s="25" t="s">
        <v>30</v>
      </c>
      <c r="J202" s="34" t="str">
        <f>IF(E202="","",raw_data!C194)</f>
        <v/>
      </c>
      <c r="K202" s="46"/>
      <c r="L202" s="87"/>
      <c r="M202" s="19" t="str">
        <f>IF(E202="","",raw_data!F194)</f>
        <v/>
      </c>
      <c r="N202" s="20" t="str">
        <f t="shared" si="10"/>
        <v/>
      </c>
      <c r="O202" s="90"/>
      <c r="P202" s="91"/>
      <c r="Q202" s="91"/>
      <c r="R202" s="91"/>
      <c r="S202" s="41" t="str">
        <f t="shared" ref="S202:S265" si="11">IF(E202="","",IF(OR(NOT(ISNUMBER(N202)),N202&lt;=(1-E202)),"erfüllt",IF(G202="Fehler","mit Fehler",IF(G202="Warnung","mit Warnung",""))))</f>
        <v/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2.75" customHeight="1" x14ac:dyDescent="0.2">
      <c r="A203" s="9">
        <v>16028</v>
      </c>
      <c r="B203" s="9" t="s">
        <v>126</v>
      </c>
      <c r="C203" s="9" t="s">
        <v>162</v>
      </c>
      <c r="D203" s="23"/>
      <c r="E203" s="42"/>
      <c r="F203" s="43"/>
      <c r="G203" s="42"/>
      <c r="H203" s="43"/>
      <c r="I203" s="25" t="s">
        <v>30</v>
      </c>
      <c r="J203" s="34" t="str">
        <f>IF(E203="","",raw_data!C195)</f>
        <v/>
      </c>
      <c r="K203" s="46"/>
      <c r="L203" s="87"/>
      <c r="M203" s="19" t="str">
        <f>IF(E203="","",raw_data!F195)</f>
        <v/>
      </c>
      <c r="N203" s="20" t="str">
        <f t="shared" ref="N203:N266" si="12">IF(E203="","",IFERROR(M203/J203,"-"))</f>
        <v/>
      </c>
      <c r="O203" s="90"/>
      <c r="P203" s="91"/>
      <c r="Q203" s="91"/>
      <c r="R203" s="91"/>
      <c r="S203" s="41" t="str">
        <f t="shared" si="11"/>
        <v/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2.75" customHeight="1" x14ac:dyDescent="0.2">
      <c r="A204" s="9">
        <v>16029</v>
      </c>
      <c r="B204" s="9" t="s">
        <v>126</v>
      </c>
      <c r="C204" s="9" t="s">
        <v>9</v>
      </c>
      <c r="D204" s="23"/>
      <c r="E204" s="42"/>
      <c r="F204" s="43"/>
      <c r="G204" s="42"/>
      <c r="H204" s="43"/>
      <c r="I204" s="25" t="s">
        <v>30</v>
      </c>
      <c r="J204" s="34" t="str">
        <f>IF(E204="","",raw_data!C196)</f>
        <v/>
      </c>
      <c r="K204" s="46"/>
      <c r="L204" s="87"/>
      <c r="M204" s="19" t="str">
        <f>IF(E204="","",raw_data!F196)</f>
        <v/>
      </c>
      <c r="N204" s="20" t="str">
        <f t="shared" si="12"/>
        <v/>
      </c>
      <c r="O204" s="90"/>
      <c r="P204" s="91"/>
      <c r="Q204" s="91"/>
      <c r="R204" s="91"/>
      <c r="S204" s="41" t="str">
        <f t="shared" si="11"/>
        <v/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2.75" customHeight="1" x14ac:dyDescent="0.2">
      <c r="A205" s="9">
        <v>16030</v>
      </c>
      <c r="B205" s="9" t="s">
        <v>126</v>
      </c>
      <c r="C205" s="9" t="s">
        <v>65</v>
      </c>
      <c r="D205" s="23"/>
      <c r="E205" s="42"/>
      <c r="F205" s="43"/>
      <c r="G205" s="42"/>
      <c r="H205" s="43"/>
      <c r="I205" s="25" t="s">
        <v>30</v>
      </c>
      <c r="J205" s="34" t="str">
        <f>IF(E205="","",raw_data!C197)</f>
        <v/>
      </c>
      <c r="K205" s="46"/>
      <c r="L205" s="87"/>
      <c r="M205" s="19" t="str">
        <f>IF(E205="","",raw_data!F197)</f>
        <v/>
      </c>
      <c r="N205" s="20" t="str">
        <f t="shared" si="12"/>
        <v/>
      </c>
      <c r="O205" s="90"/>
      <c r="P205" s="91"/>
      <c r="Q205" s="91"/>
      <c r="R205" s="91"/>
      <c r="S205" s="41" t="str">
        <f t="shared" si="11"/>
        <v/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2.75" customHeight="1" x14ac:dyDescent="0.2">
      <c r="A206" s="9" t="s">
        <v>430</v>
      </c>
      <c r="B206" s="9" t="s">
        <v>126</v>
      </c>
      <c r="C206" s="9" t="s">
        <v>219</v>
      </c>
      <c r="D206" s="23"/>
      <c r="E206" s="42"/>
      <c r="F206" s="43"/>
      <c r="G206" s="42"/>
      <c r="H206" s="43"/>
      <c r="I206" s="25" t="s">
        <v>30</v>
      </c>
      <c r="J206" s="34" t="str">
        <f>IF(E206="","",raw_data!C198)</f>
        <v/>
      </c>
      <c r="K206" s="46"/>
      <c r="L206" s="87"/>
      <c r="M206" s="19" t="str">
        <f>IF(E206="","",raw_data!F198)</f>
        <v/>
      </c>
      <c r="N206" s="20" t="str">
        <f t="shared" si="12"/>
        <v/>
      </c>
      <c r="O206" s="90"/>
      <c r="P206" s="91"/>
      <c r="Q206" s="91"/>
      <c r="R206" s="91"/>
      <c r="S206" s="41" t="str">
        <f t="shared" si="11"/>
        <v/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2.75" customHeight="1" x14ac:dyDescent="0.2">
      <c r="A207" s="9" t="s">
        <v>431</v>
      </c>
      <c r="B207" s="9" t="s">
        <v>126</v>
      </c>
      <c r="C207" s="9" t="s">
        <v>219</v>
      </c>
      <c r="D207" s="23" t="s">
        <v>377</v>
      </c>
      <c r="E207" s="42"/>
      <c r="F207" s="43"/>
      <c r="G207" s="42"/>
      <c r="H207" s="43"/>
      <c r="I207" s="25" t="s">
        <v>30</v>
      </c>
      <c r="J207" s="34" t="str">
        <f>IF(E207="","",raw_data!C199)</f>
        <v/>
      </c>
      <c r="K207" s="46"/>
      <c r="L207" s="87"/>
      <c r="M207" s="19" t="str">
        <f>IF(E207="","",raw_data!F199)</f>
        <v/>
      </c>
      <c r="N207" s="20" t="str">
        <f t="shared" si="12"/>
        <v/>
      </c>
      <c r="O207" s="90"/>
      <c r="P207" s="91"/>
      <c r="Q207" s="91"/>
      <c r="R207" s="91"/>
      <c r="S207" s="41" t="str">
        <f t="shared" si="11"/>
        <v/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2.75" customHeight="1" x14ac:dyDescent="0.2">
      <c r="A208" s="9">
        <v>16032</v>
      </c>
      <c r="B208" s="9" t="s">
        <v>126</v>
      </c>
      <c r="C208" s="9" t="s">
        <v>131</v>
      </c>
      <c r="D208" s="23"/>
      <c r="E208" s="42"/>
      <c r="F208" s="43"/>
      <c r="G208" s="42"/>
      <c r="H208" s="43"/>
      <c r="I208" s="25" t="s">
        <v>30</v>
      </c>
      <c r="J208" s="34" t="str">
        <f>IF(E208="","",raw_data!C200)</f>
        <v/>
      </c>
      <c r="K208" s="46"/>
      <c r="L208" s="87"/>
      <c r="M208" s="19" t="str">
        <f>IF(E208="","",raw_data!F200)</f>
        <v/>
      </c>
      <c r="N208" s="20" t="str">
        <f t="shared" si="12"/>
        <v/>
      </c>
      <c r="O208" s="90"/>
      <c r="P208" s="91"/>
      <c r="Q208" s="91"/>
      <c r="R208" s="91"/>
      <c r="S208" s="41" t="str">
        <f t="shared" si="11"/>
        <v/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2.75" customHeight="1" x14ac:dyDescent="0.2">
      <c r="A209" s="9">
        <v>16033</v>
      </c>
      <c r="B209" s="9" t="s">
        <v>126</v>
      </c>
      <c r="C209" s="9" t="s">
        <v>301</v>
      </c>
      <c r="D209" s="23"/>
      <c r="E209" s="42"/>
      <c r="F209" s="43"/>
      <c r="G209" s="42"/>
      <c r="H209" s="43"/>
      <c r="I209" s="25" t="s">
        <v>30</v>
      </c>
      <c r="J209" s="34" t="str">
        <f>IF(E209="","",raw_data!C201)</f>
        <v/>
      </c>
      <c r="K209" s="46"/>
      <c r="L209" s="87"/>
      <c r="M209" s="19" t="str">
        <f>IF(E209="","",raw_data!F201)</f>
        <v/>
      </c>
      <c r="N209" s="20" t="str">
        <f t="shared" si="12"/>
        <v/>
      </c>
      <c r="O209" s="90"/>
      <c r="P209" s="91"/>
      <c r="Q209" s="91"/>
      <c r="R209" s="91"/>
      <c r="S209" s="41" t="str">
        <f t="shared" si="11"/>
        <v/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2.75" customHeight="1" x14ac:dyDescent="0.2">
      <c r="A210" s="9">
        <v>16034</v>
      </c>
      <c r="B210" s="9" t="s">
        <v>126</v>
      </c>
      <c r="C210" s="9" t="s">
        <v>302</v>
      </c>
      <c r="D210" s="23"/>
      <c r="E210" s="42"/>
      <c r="F210" s="43"/>
      <c r="G210" s="42"/>
      <c r="H210" s="43"/>
      <c r="I210" s="25" t="s">
        <v>30</v>
      </c>
      <c r="J210" s="34" t="str">
        <f>IF(E210="","",raw_data!C202)</f>
        <v/>
      </c>
      <c r="K210" s="46"/>
      <c r="L210" s="87"/>
      <c r="M210" s="19" t="str">
        <f>IF(E210="","",raw_data!F202)</f>
        <v/>
      </c>
      <c r="N210" s="20" t="str">
        <f t="shared" si="12"/>
        <v/>
      </c>
      <c r="O210" s="90"/>
      <c r="P210" s="91"/>
      <c r="Q210" s="91"/>
      <c r="R210" s="91"/>
      <c r="S210" s="41" t="str">
        <f t="shared" si="11"/>
        <v/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2.75" customHeight="1" x14ac:dyDescent="0.2">
      <c r="A211" s="9">
        <v>16035</v>
      </c>
      <c r="B211" s="9" t="s">
        <v>126</v>
      </c>
      <c r="C211" s="9" t="s">
        <v>303</v>
      </c>
      <c r="D211" s="23"/>
      <c r="E211" s="42"/>
      <c r="F211" s="43"/>
      <c r="G211" s="42"/>
      <c r="H211" s="43"/>
      <c r="I211" s="25" t="s">
        <v>30</v>
      </c>
      <c r="J211" s="34" t="str">
        <f>IF(E211="","",raw_data!C203)</f>
        <v/>
      </c>
      <c r="K211" s="46"/>
      <c r="L211" s="87"/>
      <c r="M211" s="19" t="str">
        <f>IF(E211="","",raw_data!F203)</f>
        <v/>
      </c>
      <c r="N211" s="20" t="str">
        <f t="shared" si="12"/>
        <v/>
      </c>
      <c r="O211" s="90"/>
      <c r="P211" s="91"/>
      <c r="Q211" s="91"/>
      <c r="R211" s="91"/>
      <c r="S211" s="41" t="str">
        <f t="shared" si="11"/>
        <v/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2.75" customHeight="1" x14ac:dyDescent="0.2">
      <c r="A212" s="9">
        <v>16036</v>
      </c>
      <c r="B212" s="9" t="s">
        <v>126</v>
      </c>
      <c r="C212" s="9" t="s">
        <v>304</v>
      </c>
      <c r="D212" s="23"/>
      <c r="E212" s="42"/>
      <c r="F212" s="43"/>
      <c r="G212" s="42"/>
      <c r="H212" s="43"/>
      <c r="I212" s="25" t="s">
        <v>30</v>
      </c>
      <c r="J212" s="34" t="str">
        <f>IF(E212="","",raw_data!C204)</f>
        <v/>
      </c>
      <c r="K212" s="46"/>
      <c r="L212" s="87"/>
      <c r="M212" s="19" t="str">
        <f>IF(E212="","",raw_data!F204)</f>
        <v/>
      </c>
      <c r="N212" s="20" t="str">
        <f t="shared" si="12"/>
        <v/>
      </c>
      <c r="O212" s="90"/>
      <c r="P212" s="91"/>
      <c r="Q212" s="91"/>
      <c r="R212" s="91"/>
      <c r="S212" s="41" t="str">
        <f t="shared" si="11"/>
        <v/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2.75" customHeight="1" x14ac:dyDescent="0.2">
      <c r="A213" s="9">
        <v>16037</v>
      </c>
      <c r="B213" s="9" t="s">
        <v>126</v>
      </c>
      <c r="C213" s="9" t="s">
        <v>305</v>
      </c>
      <c r="D213" s="23"/>
      <c r="E213" s="42"/>
      <c r="F213" s="43"/>
      <c r="G213" s="42"/>
      <c r="H213" s="43"/>
      <c r="I213" s="25" t="s">
        <v>30</v>
      </c>
      <c r="J213" s="34" t="str">
        <f>IF(E213="","",raw_data!C205)</f>
        <v/>
      </c>
      <c r="K213" s="46"/>
      <c r="L213" s="87"/>
      <c r="M213" s="19" t="str">
        <f>IF(E213="","",raw_data!F205)</f>
        <v/>
      </c>
      <c r="N213" s="20" t="str">
        <f t="shared" si="12"/>
        <v/>
      </c>
      <c r="O213" s="90"/>
      <c r="P213" s="91"/>
      <c r="Q213" s="91"/>
      <c r="R213" s="91"/>
      <c r="S213" s="41" t="str">
        <f t="shared" si="11"/>
        <v/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2.75" customHeight="1" x14ac:dyDescent="0.2">
      <c r="A214" s="9">
        <v>16038</v>
      </c>
      <c r="B214" s="9" t="s">
        <v>126</v>
      </c>
      <c r="C214" s="9" t="s">
        <v>306</v>
      </c>
      <c r="D214" s="23"/>
      <c r="E214" s="42"/>
      <c r="F214" s="43"/>
      <c r="G214" s="42"/>
      <c r="H214" s="43"/>
      <c r="I214" s="25" t="s">
        <v>30</v>
      </c>
      <c r="J214" s="34" t="str">
        <f>IF(E214="","",raw_data!C206)</f>
        <v/>
      </c>
      <c r="K214" s="46"/>
      <c r="L214" s="87"/>
      <c r="M214" s="19" t="str">
        <f>IF(E214="","",raw_data!F206)</f>
        <v/>
      </c>
      <c r="N214" s="20" t="str">
        <f t="shared" si="12"/>
        <v/>
      </c>
      <c r="O214" s="90"/>
      <c r="P214" s="91"/>
      <c r="Q214" s="91"/>
      <c r="R214" s="91"/>
      <c r="S214" s="41" t="str">
        <f t="shared" si="11"/>
        <v/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2.75" customHeight="1" x14ac:dyDescent="0.2">
      <c r="A215" s="9">
        <v>16039</v>
      </c>
      <c r="B215" s="9" t="s">
        <v>126</v>
      </c>
      <c r="C215" s="9" t="s">
        <v>307</v>
      </c>
      <c r="D215" s="23"/>
      <c r="E215" s="42"/>
      <c r="F215" s="43"/>
      <c r="G215" s="42"/>
      <c r="H215" s="43"/>
      <c r="I215" s="25" t="s">
        <v>30</v>
      </c>
      <c r="J215" s="34" t="str">
        <f>IF(E215="","",raw_data!C207)</f>
        <v/>
      </c>
      <c r="K215" s="46"/>
      <c r="L215" s="87"/>
      <c r="M215" s="19" t="str">
        <f>IF(E215="","",raw_data!F207)</f>
        <v/>
      </c>
      <c r="N215" s="20" t="str">
        <f t="shared" si="12"/>
        <v/>
      </c>
      <c r="O215" s="90"/>
      <c r="P215" s="91"/>
      <c r="Q215" s="91"/>
      <c r="R215" s="91"/>
      <c r="S215" s="41" t="str">
        <f t="shared" si="11"/>
        <v/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2.75" customHeight="1" x14ac:dyDescent="0.2">
      <c r="A216" s="9">
        <v>16040</v>
      </c>
      <c r="B216" s="9" t="s">
        <v>126</v>
      </c>
      <c r="C216" s="9" t="s">
        <v>308</v>
      </c>
      <c r="D216" s="23"/>
      <c r="E216" s="42"/>
      <c r="F216" s="43"/>
      <c r="G216" s="42"/>
      <c r="H216" s="43"/>
      <c r="I216" s="25" t="s">
        <v>30</v>
      </c>
      <c r="J216" s="34" t="str">
        <f>IF(E216="","",raw_data!C208)</f>
        <v/>
      </c>
      <c r="K216" s="46"/>
      <c r="L216" s="87"/>
      <c r="M216" s="19" t="str">
        <f>IF(E216="","",raw_data!F208)</f>
        <v/>
      </c>
      <c r="N216" s="20" t="str">
        <f t="shared" si="12"/>
        <v/>
      </c>
      <c r="O216" s="90"/>
      <c r="P216" s="91"/>
      <c r="Q216" s="91"/>
      <c r="R216" s="91"/>
      <c r="S216" s="41" t="str">
        <f t="shared" si="11"/>
        <v/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2.75" customHeight="1" x14ac:dyDescent="0.2">
      <c r="A217" s="9">
        <v>16041</v>
      </c>
      <c r="B217" s="9" t="s">
        <v>126</v>
      </c>
      <c r="C217" s="9" t="s">
        <v>309</v>
      </c>
      <c r="D217" s="23"/>
      <c r="E217" s="42"/>
      <c r="F217" s="43"/>
      <c r="G217" s="42"/>
      <c r="H217" s="43"/>
      <c r="I217" s="25" t="s">
        <v>30</v>
      </c>
      <c r="J217" s="34" t="str">
        <f>IF(E217="","",raw_data!C209)</f>
        <v/>
      </c>
      <c r="K217" s="46"/>
      <c r="L217" s="87"/>
      <c r="M217" s="19" t="str">
        <f>IF(E217="","",raw_data!F209)</f>
        <v/>
      </c>
      <c r="N217" s="20" t="str">
        <f t="shared" si="12"/>
        <v/>
      </c>
      <c r="O217" s="90"/>
      <c r="P217" s="91"/>
      <c r="Q217" s="91"/>
      <c r="R217" s="91"/>
      <c r="S217" s="41" t="str">
        <f t="shared" si="11"/>
        <v/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2.75" customHeight="1" x14ac:dyDescent="0.2">
      <c r="A218" s="9">
        <v>16042</v>
      </c>
      <c r="B218" s="9" t="s">
        <v>126</v>
      </c>
      <c r="C218" s="9" t="s">
        <v>310</v>
      </c>
      <c r="D218" s="23"/>
      <c r="E218" s="42"/>
      <c r="F218" s="43"/>
      <c r="G218" s="42"/>
      <c r="H218" s="43"/>
      <c r="I218" s="25" t="s">
        <v>30</v>
      </c>
      <c r="J218" s="34" t="str">
        <f>IF(E218="","",raw_data!C210)</f>
        <v/>
      </c>
      <c r="K218" s="46"/>
      <c r="L218" s="87"/>
      <c r="M218" s="19" t="str">
        <f>IF(E218="","",raw_data!F210)</f>
        <v/>
      </c>
      <c r="N218" s="20" t="str">
        <f t="shared" si="12"/>
        <v/>
      </c>
      <c r="O218" s="90"/>
      <c r="P218" s="91"/>
      <c r="Q218" s="91"/>
      <c r="R218" s="91"/>
      <c r="S218" s="41" t="str">
        <f t="shared" si="11"/>
        <v/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2.75" customHeight="1" x14ac:dyDescent="0.2">
      <c r="A219" s="9">
        <v>16043</v>
      </c>
      <c r="B219" s="9" t="s">
        <v>126</v>
      </c>
      <c r="C219" s="9" t="s">
        <v>311</v>
      </c>
      <c r="D219" s="23"/>
      <c r="E219" s="42"/>
      <c r="F219" s="43"/>
      <c r="G219" s="42"/>
      <c r="H219" s="43"/>
      <c r="I219" s="25" t="s">
        <v>30</v>
      </c>
      <c r="J219" s="34" t="str">
        <f>IF(E219="","",raw_data!C211)</f>
        <v/>
      </c>
      <c r="K219" s="46"/>
      <c r="L219" s="87"/>
      <c r="M219" s="19" t="str">
        <f>IF(E219="","",raw_data!F211)</f>
        <v/>
      </c>
      <c r="N219" s="20" t="str">
        <f t="shared" si="12"/>
        <v/>
      </c>
      <c r="O219" s="90"/>
      <c r="P219" s="91"/>
      <c r="Q219" s="91"/>
      <c r="R219" s="91"/>
      <c r="S219" s="41" t="str">
        <f t="shared" si="11"/>
        <v/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2.75" customHeight="1" x14ac:dyDescent="0.2">
      <c r="A220" s="9">
        <v>16044</v>
      </c>
      <c r="B220" s="9" t="s">
        <v>126</v>
      </c>
      <c r="C220" s="9" t="s">
        <v>312</v>
      </c>
      <c r="D220" s="23"/>
      <c r="E220" s="42"/>
      <c r="F220" s="43"/>
      <c r="G220" s="42"/>
      <c r="H220" s="43"/>
      <c r="I220" s="25" t="s">
        <v>30</v>
      </c>
      <c r="J220" s="34" t="str">
        <f>IF(E220="","",raw_data!C212)</f>
        <v/>
      </c>
      <c r="K220" s="46"/>
      <c r="L220" s="87"/>
      <c r="M220" s="19" t="str">
        <f>IF(E220="","",raw_data!F212)</f>
        <v/>
      </c>
      <c r="N220" s="20" t="str">
        <f t="shared" si="12"/>
        <v/>
      </c>
      <c r="O220" s="90"/>
      <c r="P220" s="91"/>
      <c r="Q220" s="91"/>
      <c r="R220" s="91"/>
      <c r="S220" s="41" t="str">
        <f t="shared" si="11"/>
        <v/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2.75" customHeight="1" x14ac:dyDescent="0.2">
      <c r="A221" s="9">
        <v>16045</v>
      </c>
      <c r="B221" s="9" t="s">
        <v>126</v>
      </c>
      <c r="C221" s="9" t="s">
        <v>313</v>
      </c>
      <c r="D221" s="23"/>
      <c r="E221" s="42"/>
      <c r="F221" s="43"/>
      <c r="G221" s="42"/>
      <c r="H221" s="43"/>
      <c r="I221" s="25" t="s">
        <v>30</v>
      </c>
      <c r="J221" s="34" t="str">
        <f>IF(E221="","",raw_data!C213)</f>
        <v/>
      </c>
      <c r="K221" s="46"/>
      <c r="L221" s="87"/>
      <c r="M221" s="19" t="str">
        <f>IF(E221="","",raw_data!F213)</f>
        <v/>
      </c>
      <c r="N221" s="20" t="str">
        <f t="shared" si="12"/>
        <v/>
      </c>
      <c r="O221" s="90"/>
      <c r="P221" s="91"/>
      <c r="Q221" s="91"/>
      <c r="R221" s="91"/>
      <c r="S221" s="41" t="str">
        <f t="shared" si="11"/>
        <v/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2.75" customHeight="1" x14ac:dyDescent="0.2">
      <c r="A222" s="9">
        <v>16046</v>
      </c>
      <c r="B222" s="9" t="s">
        <v>126</v>
      </c>
      <c r="C222" s="9" t="s">
        <v>314</v>
      </c>
      <c r="D222" s="23"/>
      <c r="E222" s="42"/>
      <c r="F222" s="43"/>
      <c r="G222" s="42"/>
      <c r="H222" s="43"/>
      <c r="I222" s="25" t="s">
        <v>30</v>
      </c>
      <c r="J222" s="34" t="str">
        <f>IF(E222="","",raw_data!C214)</f>
        <v/>
      </c>
      <c r="K222" s="46"/>
      <c r="L222" s="87"/>
      <c r="M222" s="19" t="str">
        <f>IF(E222="","",raw_data!F214)</f>
        <v/>
      </c>
      <c r="N222" s="20" t="str">
        <f t="shared" si="12"/>
        <v/>
      </c>
      <c r="O222" s="90"/>
      <c r="P222" s="91"/>
      <c r="Q222" s="91"/>
      <c r="R222" s="91"/>
      <c r="S222" s="41" t="str">
        <f t="shared" si="11"/>
        <v/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2.75" customHeight="1" x14ac:dyDescent="0.2">
      <c r="A223" s="9">
        <v>16047</v>
      </c>
      <c r="B223" s="9" t="s">
        <v>126</v>
      </c>
      <c r="C223" s="9" t="s">
        <v>315</v>
      </c>
      <c r="D223" s="23"/>
      <c r="E223" s="42"/>
      <c r="F223" s="43"/>
      <c r="G223" s="42"/>
      <c r="H223" s="43"/>
      <c r="I223" s="25" t="s">
        <v>30</v>
      </c>
      <c r="J223" s="34" t="str">
        <f>IF(E223="","",raw_data!C215)</f>
        <v/>
      </c>
      <c r="K223" s="46"/>
      <c r="L223" s="87"/>
      <c r="M223" s="19" t="str">
        <f>IF(E223="","",raw_data!F215)</f>
        <v/>
      </c>
      <c r="N223" s="20" t="str">
        <f t="shared" si="12"/>
        <v/>
      </c>
      <c r="O223" s="90"/>
      <c r="P223" s="91"/>
      <c r="Q223" s="91"/>
      <c r="R223" s="91"/>
      <c r="S223" s="41" t="str">
        <f t="shared" si="11"/>
        <v/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2.75" customHeight="1" x14ac:dyDescent="0.2">
      <c r="A224" s="9">
        <v>16048</v>
      </c>
      <c r="B224" s="9" t="s">
        <v>126</v>
      </c>
      <c r="C224" s="9" t="s">
        <v>316</v>
      </c>
      <c r="D224" s="23"/>
      <c r="E224" s="42"/>
      <c r="F224" s="43"/>
      <c r="G224" s="42"/>
      <c r="H224" s="43"/>
      <c r="I224" s="25" t="s">
        <v>30</v>
      </c>
      <c r="J224" s="34" t="str">
        <f>IF(E224="","",raw_data!C216)</f>
        <v/>
      </c>
      <c r="K224" s="46"/>
      <c r="L224" s="87"/>
      <c r="M224" s="19" t="str">
        <f>IF(E224="","",raw_data!F216)</f>
        <v/>
      </c>
      <c r="N224" s="20" t="str">
        <f t="shared" si="12"/>
        <v/>
      </c>
      <c r="O224" s="90"/>
      <c r="P224" s="91"/>
      <c r="Q224" s="91"/>
      <c r="R224" s="91"/>
      <c r="S224" s="41" t="str">
        <f t="shared" si="11"/>
        <v/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2.75" customHeight="1" x14ac:dyDescent="0.2">
      <c r="A225" s="9">
        <v>16049</v>
      </c>
      <c r="B225" s="9" t="s">
        <v>126</v>
      </c>
      <c r="C225" s="9" t="s">
        <v>317</v>
      </c>
      <c r="D225" s="23"/>
      <c r="E225" s="42"/>
      <c r="F225" s="43"/>
      <c r="G225" s="42"/>
      <c r="H225" s="43"/>
      <c r="I225" s="25" t="s">
        <v>30</v>
      </c>
      <c r="J225" s="34" t="str">
        <f>IF(E225="","",raw_data!C217)</f>
        <v/>
      </c>
      <c r="K225" s="46"/>
      <c r="L225" s="87"/>
      <c r="M225" s="19" t="str">
        <f>IF(E225="","",raw_data!F217)</f>
        <v/>
      </c>
      <c r="N225" s="20" t="str">
        <f t="shared" si="12"/>
        <v/>
      </c>
      <c r="O225" s="90"/>
      <c r="P225" s="91"/>
      <c r="Q225" s="91"/>
      <c r="R225" s="91"/>
      <c r="S225" s="41" t="str">
        <f t="shared" si="11"/>
        <v/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2.75" customHeight="1" x14ac:dyDescent="0.2">
      <c r="A226" s="9">
        <v>16050</v>
      </c>
      <c r="B226" s="9" t="s">
        <v>126</v>
      </c>
      <c r="C226" s="9" t="s">
        <v>318</v>
      </c>
      <c r="D226" s="23"/>
      <c r="E226" s="42"/>
      <c r="F226" s="43"/>
      <c r="G226" s="42"/>
      <c r="H226" s="43"/>
      <c r="I226" s="25" t="s">
        <v>30</v>
      </c>
      <c r="J226" s="34" t="str">
        <f>IF(E226="","",raw_data!C218)</f>
        <v/>
      </c>
      <c r="K226" s="46"/>
      <c r="L226" s="87"/>
      <c r="M226" s="19" t="str">
        <f>IF(E226="","",raw_data!F218)</f>
        <v/>
      </c>
      <c r="N226" s="20" t="str">
        <f t="shared" si="12"/>
        <v/>
      </c>
      <c r="O226" s="90"/>
      <c r="P226" s="91"/>
      <c r="Q226" s="91"/>
      <c r="R226" s="91"/>
      <c r="S226" s="41" t="str">
        <f t="shared" si="11"/>
        <v/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2.75" customHeight="1" x14ac:dyDescent="0.2">
      <c r="A227" s="9">
        <v>16051</v>
      </c>
      <c r="B227" s="9" t="s">
        <v>126</v>
      </c>
      <c r="C227" s="9" t="s">
        <v>319</v>
      </c>
      <c r="D227" s="23"/>
      <c r="E227" s="42"/>
      <c r="F227" s="43"/>
      <c r="G227" s="42"/>
      <c r="H227" s="43"/>
      <c r="I227" s="25" t="s">
        <v>30</v>
      </c>
      <c r="J227" s="34" t="str">
        <f>IF(E227="","",raw_data!C219)</f>
        <v/>
      </c>
      <c r="K227" s="46"/>
      <c r="L227" s="87"/>
      <c r="M227" s="19" t="str">
        <f>IF(E227="","",raw_data!F219)</f>
        <v/>
      </c>
      <c r="N227" s="20" t="str">
        <f t="shared" si="12"/>
        <v/>
      </c>
      <c r="O227" s="90"/>
      <c r="P227" s="91"/>
      <c r="Q227" s="91"/>
      <c r="R227" s="91"/>
      <c r="S227" s="41" t="str">
        <f t="shared" si="11"/>
        <v/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2.75" customHeight="1" x14ac:dyDescent="0.2">
      <c r="A228" s="9">
        <v>16052</v>
      </c>
      <c r="B228" s="9" t="s">
        <v>126</v>
      </c>
      <c r="C228" s="9" t="s">
        <v>320</v>
      </c>
      <c r="D228" s="23"/>
      <c r="E228" s="42"/>
      <c r="F228" s="43"/>
      <c r="G228" s="42"/>
      <c r="H228" s="43"/>
      <c r="I228" s="25" t="s">
        <v>30</v>
      </c>
      <c r="J228" s="34" t="str">
        <f>IF(E228="","",raw_data!C220)</f>
        <v/>
      </c>
      <c r="K228" s="46"/>
      <c r="L228" s="87"/>
      <c r="M228" s="19" t="str">
        <f>IF(E228="","",raw_data!F220)</f>
        <v/>
      </c>
      <c r="N228" s="20" t="str">
        <f t="shared" si="12"/>
        <v/>
      </c>
      <c r="O228" s="90"/>
      <c r="P228" s="91"/>
      <c r="Q228" s="91"/>
      <c r="R228" s="91"/>
      <c r="S228" s="41" t="str">
        <f t="shared" si="11"/>
        <v/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2.75" customHeight="1" x14ac:dyDescent="0.2">
      <c r="A229" s="9">
        <v>16053</v>
      </c>
      <c r="B229" s="9" t="s">
        <v>126</v>
      </c>
      <c r="C229" s="9" t="s">
        <v>321</v>
      </c>
      <c r="D229" s="23"/>
      <c r="E229" s="42"/>
      <c r="F229" s="43"/>
      <c r="G229" s="42"/>
      <c r="H229" s="43"/>
      <c r="I229" s="25" t="s">
        <v>30</v>
      </c>
      <c r="J229" s="34" t="str">
        <f>IF(E229="","",raw_data!C221)</f>
        <v/>
      </c>
      <c r="K229" s="46"/>
      <c r="L229" s="87"/>
      <c r="M229" s="19" t="str">
        <f>IF(E229="","",raw_data!F221)</f>
        <v/>
      </c>
      <c r="N229" s="20" t="str">
        <f t="shared" si="12"/>
        <v/>
      </c>
      <c r="O229" s="90"/>
      <c r="P229" s="91"/>
      <c r="Q229" s="91"/>
      <c r="R229" s="91"/>
      <c r="S229" s="41" t="str">
        <f t="shared" si="11"/>
        <v/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2.75" customHeight="1" x14ac:dyDescent="0.2">
      <c r="A230" s="9">
        <v>16054</v>
      </c>
      <c r="B230" s="9" t="s">
        <v>126</v>
      </c>
      <c r="C230" s="9" t="s">
        <v>322</v>
      </c>
      <c r="D230" s="23"/>
      <c r="E230" s="42"/>
      <c r="F230" s="43"/>
      <c r="G230" s="42"/>
      <c r="H230" s="43"/>
      <c r="I230" s="25" t="s">
        <v>30</v>
      </c>
      <c r="J230" s="34" t="str">
        <f>IF(E230="","",raw_data!C222)</f>
        <v/>
      </c>
      <c r="K230" s="46"/>
      <c r="L230" s="87"/>
      <c r="M230" s="19" t="str">
        <f>IF(E230="","",raw_data!F222)</f>
        <v/>
      </c>
      <c r="N230" s="20" t="str">
        <f t="shared" si="12"/>
        <v/>
      </c>
      <c r="O230" s="90"/>
      <c r="P230" s="91"/>
      <c r="Q230" s="91"/>
      <c r="R230" s="91"/>
      <c r="S230" s="41" t="str">
        <f t="shared" si="11"/>
        <v/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2.75" customHeight="1" x14ac:dyDescent="0.2">
      <c r="A231" s="9">
        <v>16055</v>
      </c>
      <c r="B231" s="9" t="s">
        <v>126</v>
      </c>
      <c r="C231" s="9" t="s">
        <v>323</v>
      </c>
      <c r="D231" s="23"/>
      <c r="E231" s="42"/>
      <c r="F231" s="43"/>
      <c r="G231" s="42"/>
      <c r="H231" s="43"/>
      <c r="I231" s="25" t="s">
        <v>30</v>
      </c>
      <c r="J231" s="34" t="str">
        <f>IF(E231="","",raw_data!C223)</f>
        <v/>
      </c>
      <c r="K231" s="46"/>
      <c r="L231" s="87"/>
      <c r="M231" s="19" t="str">
        <f>IF(E231="","",raw_data!F223)</f>
        <v/>
      </c>
      <c r="N231" s="20" t="str">
        <f t="shared" si="12"/>
        <v/>
      </c>
      <c r="O231" s="90"/>
      <c r="P231" s="91"/>
      <c r="Q231" s="91"/>
      <c r="R231" s="91"/>
      <c r="S231" s="41" t="str">
        <f t="shared" si="11"/>
        <v/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2.75" customHeight="1" x14ac:dyDescent="0.2">
      <c r="A232" s="9">
        <v>16056</v>
      </c>
      <c r="B232" s="9" t="s">
        <v>126</v>
      </c>
      <c r="C232" s="9" t="s">
        <v>324</v>
      </c>
      <c r="D232" s="23"/>
      <c r="E232" s="42"/>
      <c r="F232" s="43"/>
      <c r="G232" s="42"/>
      <c r="H232" s="43"/>
      <c r="I232" s="25" t="s">
        <v>30</v>
      </c>
      <c r="J232" s="34" t="str">
        <f>IF(E232="","",raw_data!C224)</f>
        <v/>
      </c>
      <c r="K232" s="46"/>
      <c r="L232" s="87"/>
      <c r="M232" s="19" t="str">
        <f>IF(E232="","",raw_data!F224)</f>
        <v/>
      </c>
      <c r="N232" s="20" t="str">
        <f t="shared" si="12"/>
        <v/>
      </c>
      <c r="O232" s="90"/>
      <c r="P232" s="91"/>
      <c r="Q232" s="91"/>
      <c r="R232" s="91"/>
      <c r="S232" s="41" t="str">
        <f t="shared" si="11"/>
        <v/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2.75" customHeight="1" x14ac:dyDescent="0.2">
      <c r="A233" s="9">
        <v>16057</v>
      </c>
      <c r="B233" s="9" t="s">
        <v>126</v>
      </c>
      <c r="C233" s="9" t="s">
        <v>325</v>
      </c>
      <c r="D233" s="23"/>
      <c r="E233" s="42"/>
      <c r="F233" s="43"/>
      <c r="G233" s="42"/>
      <c r="H233" s="43"/>
      <c r="I233" s="25" t="s">
        <v>30</v>
      </c>
      <c r="J233" s="34" t="str">
        <f>IF(E233="","",raw_data!C225)</f>
        <v/>
      </c>
      <c r="K233" s="46"/>
      <c r="L233" s="87"/>
      <c r="M233" s="19" t="str">
        <f>IF(E233="","",raw_data!F225)</f>
        <v/>
      </c>
      <c r="N233" s="20" t="str">
        <f t="shared" si="12"/>
        <v/>
      </c>
      <c r="O233" s="90"/>
      <c r="P233" s="91"/>
      <c r="Q233" s="91"/>
      <c r="R233" s="91"/>
      <c r="S233" s="41" t="str">
        <f t="shared" si="11"/>
        <v/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2.75" customHeight="1" x14ac:dyDescent="0.2">
      <c r="A234" s="9">
        <v>16058</v>
      </c>
      <c r="B234" s="9" t="s">
        <v>126</v>
      </c>
      <c r="C234" s="9" t="s">
        <v>326</v>
      </c>
      <c r="D234" s="23"/>
      <c r="E234" s="42"/>
      <c r="F234" s="43"/>
      <c r="G234" s="42"/>
      <c r="H234" s="43"/>
      <c r="I234" s="25" t="s">
        <v>30</v>
      </c>
      <c r="J234" s="34" t="str">
        <f>IF(E234="","",raw_data!C226)</f>
        <v/>
      </c>
      <c r="K234" s="46"/>
      <c r="L234" s="87"/>
      <c r="M234" s="19" t="str">
        <f>IF(E234="","",raw_data!F226)</f>
        <v/>
      </c>
      <c r="N234" s="20" t="str">
        <f t="shared" si="12"/>
        <v/>
      </c>
      <c r="O234" s="90"/>
      <c r="P234" s="91"/>
      <c r="Q234" s="91"/>
      <c r="R234" s="91"/>
      <c r="S234" s="41" t="str">
        <f t="shared" si="11"/>
        <v/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2.75" customHeight="1" x14ac:dyDescent="0.2">
      <c r="A235" s="9">
        <v>16059</v>
      </c>
      <c r="B235" s="9" t="s">
        <v>126</v>
      </c>
      <c r="C235" s="9" t="s">
        <v>327</v>
      </c>
      <c r="D235" s="23"/>
      <c r="E235" s="42"/>
      <c r="F235" s="43"/>
      <c r="G235" s="42"/>
      <c r="H235" s="43"/>
      <c r="I235" s="25" t="s">
        <v>30</v>
      </c>
      <c r="J235" s="34" t="str">
        <f>IF(E235="","",raw_data!C227)</f>
        <v/>
      </c>
      <c r="K235" s="46"/>
      <c r="L235" s="87"/>
      <c r="M235" s="19" t="str">
        <f>IF(E235="","",raw_data!F227)</f>
        <v/>
      </c>
      <c r="N235" s="20" t="str">
        <f t="shared" si="12"/>
        <v/>
      </c>
      <c r="O235" s="90"/>
      <c r="P235" s="91"/>
      <c r="Q235" s="91"/>
      <c r="R235" s="91"/>
      <c r="S235" s="41" t="str">
        <f t="shared" si="11"/>
        <v/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2.75" customHeight="1" x14ac:dyDescent="0.2">
      <c r="A236" s="9">
        <v>16060</v>
      </c>
      <c r="B236" s="9" t="s">
        <v>126</v>
      </c>
      <c r="C236" s="9" t="s">
        <v>328</v>
      </c>
      <c r="D236" s="23"/>
      <c r="E236" s="42"/>
      <c r="F236" s="43"/>
      <c r="G236" s="42"/>
      <c r="H236" s="43"/>
      <c r="I236" s="25" t="s">
        <v>30</v>
      </c>
      <c r="J236" s="34" t="str">
        <f>IF(E236="","",raw_data!C228)</f>
        <v/>
      </c>
      <c r="K236" s="46"/>
      <c r="L236" s="87"/>
      <c r="M236" s="19" t="str">
        <f>IF(E236="","",raw_data!F228)</f>
        <v/>
      </c>
      <c r="N236" s="20" t="str">
        <f t="shared" si="12"/>
        <v/>
      </c>
      <c r="O236" s="90"/>
      <c r="P236" s="91"/>
      <c r="Q236" s="91"/>
      <c r="R236" s="91"/>
      <c r="S236" s="41" t="str">
        <f t="shared" si="11"/>
        <v/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2.75" customHeight="1" x14ac:dyDescent="0.2">
      <c r="A237" s="9">
        <v>16061</v>
      </c>
      <c r="B237" s="9" t="s">
        <v>126</v>
      </c>
      <c r="C237" s="9" t="s">
        <v>329</v>
      </c>
      <c r="D237" s="23"/>
      <c r="E237" s="42"/>
      <c r="F237" s="43"/>
      <c r="G237" s="42"/>
      <c r="H237" s="43"/>
      <c r="I237" s="25" t="s">
        <v>30</v>
      </c>
      <c r="J237" s="34" t="str">
        <f>IF(E237="","",raw_data!C229)</f>
        <v/>
      </c>
      <c r="K237" s="46"/>
      <c r="L237" s="87"/>
      <c r="M237" s="19" t="str">
        <f>IF(E237="","",raw_data!F229)</f>
        <v/>
      </c>
      <c r="N237" s="20" t="str">
        <f t="shared" si="12"/>
        <v/>
      </c>
      <c r="O237" s="90"/>
      <c r="P237" s="91"/>
      <c r="Q237" s="91"/>
      <c r="R237" s="91"/>
      <c r="S237" s="41" t="str">
        <f t="shared" si="11"/>
        <v/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2.75" customHeight="1" x14ac:dyDescent="0.2">
      <c r="A238" s="9">
        <v>16062</v>
      </c>
      <c r="B238" s="9" t="s">
        <v>126</v>
      </c>
      <c r="C238" s="9" t="s">
        <v>330</v>
      </c>
      <c r="D238" s="23"/>
      <c r="E238" s="42"/>
      <c r="F238" s="43"/>
      <c r="G238" s="42"/>
      <c r="H238" s="43"/>
      <c r="I238" s="25" t="s">
        <v>30</v>
      </c>
      <c r="J238" s="34" t="str">
        <f>IF(E238="","",raw_data!C230)</f>
        <v/>
      </c>
      <c r="K238" s="46"/>
      <c r="L238" s="87"/>
      <c r="M238" s="19" t="str">
        <f>IF(E238="","",raw_data!F230)</f>
        <v/>
      </c>
      <c r="N238" s="20" t="str">
        <f t="shared" si="12"/>
        <v/>
      </c>
      <c r="O238" s="90"/>
      <c r="P238" s="91"/>
      <c r="Q238" s="91"/>
      <c r="R238" s="91"/>
      <c r="S238" s="41" t="str">
        <f t="shared" si="11"/>
        <v/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2.75" customHeight="1" x14ac:dyDescent="0.2">
      <c r="A239" s="9">
        <v>16063</v>
      </c>
      <c r="B239" s="9" t="s">
        <v>126</v>
      </c>
      <c r="C239" s="9" t="s">
        <v>331</v>
      </c>
      <c r="D239" s="23"/>
      <c r="E239" s="42"/>
      <c r="F239" s="43"/>
      <c r="G239" s="42"/>
      <c r="H239" s="43"/>
      <c r="I239" s="25" t="s">
        <v>30</v>
      </c>
      <c r="J239" s="34" t="str">
        <f>IF(E239="","",raw_data!C231)</f>
        <v/>
      </c>
      <c r="K239" s="46"/>
      <c r="L239" s="87"/>
      <c r="M239" s="19" t="str">
        <f>IF(E239="","",raw_data!F231)</f>
        <v/>
      </c>
      <c r="N239" s="20" t="str">
        <f t="shared" si="12"/>
        <v/>
      </c>
      <c r="O239" s="90"/>
      <c r="P239" s="91"/>
      <c r="Q239" s="91"/>
      <c r="R239" s="91"/>
      <c r="S239" s="41" t="str">
        <f t="shared" si="11"/>
        <v/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2.75" customHeight="1" x14ac:dyDescent="0.2">
      <c r="A240" s="9">
        <v>16064</v>
      </c>
      <c r="B240" s="9" t="s">
        <v>126</v>
      </c>
      <c r="C240" s="9" t="s">
        <v>332</v>
      </c>
      <c r="D240" s="23"/>
      <c r="E240" s="42"/>
      <c r="F240" s="43"/>
      <c r="G240" s="42"/>
      <c r="H240" s="43"/>
      <c r="I240" s="25" t="s">
        <v>30</v>
      </c>
      <c r="J240" s="34" t="str">
        <f>IF(E240="","",raw_data!C232)</f>
        <v/>
      </c>
      <c r="K240" s="46"/>
      <c r="L240" s="87"/>
      <c r="M240" s="19" t="str">
        <f>IF(E240="","",raw_data!F232)</f>
        <v/>
      </c>
      <c r="N240" s="20" t="str">
        <f t="shared" si="12"/>
        <v/>
      </c>
      <c r="O240" s="90"/>
      <c r="P240" s="91"/>
      <c r="Q240" s="91"/>
      <c r="R240" s="91"/>
      <c r="S240" s="41" t="str">
        <f t="shared" si="11"/>
        <v/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2.75" customHeight="1" x14ac:dyDescent="0.2">
      <c r="A241" s="9">
        <v>16065</v>
      </c>
      <c r="B241" s="9" t="s">
        <v>126</v>
      </c>
      <c r="C241" s="9" t="s">
        <v>333</v>
      </c>
      <c r="D241" s="23"/>
      <c r="E241" s="42"/>
      <c r="F241" s="43"/>
      <c r="G241" s="42"/>
      <c r="H241" s="43"/>
      <c r="I241" s="25" t="s">
        <v>30</v>
      </c>
      <c r="J241" s="34" t="str">
        <f>IF(E241="","",raw_data!C233)</f>
        <v/>
      </c>
      <c r="K241" s="46"/>
      <c r="L241" s="87"/>
      <c r="M241" s="19" t="str">
        <f>IF(E241="","",raw_data!F233)</f>
        <v/>
      </c>
      <c r="N241" s="20" t="str">
        <f t="shared" si="12"/>
        <v/>
      </c>
      <c r="O241" s="90"/>
      <c r="P241" s="91"/>
      <c r="Q241" s="91"/>
      <c r="R241" s="91"/>
      <c r="S241" s="41" t="str">
        <f t="shared" si="11"/>
        <v/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2.75" customHeight="1" x14ac:dyDescent="0.2">
      <c r="A242" s="9">
        <v>16066</v>
      </c>
      <c r="B242" s="9" t="s">
        <v>126</v>
      </c>
      <c r="C242" s="9" t="s">
        <v>334</v>
      </c>
      <c r="D242" s="23"/>
      <c r="E242" s="42"/>
      <c r="F242" s="43"/>
      <c r="G242" s="42"/>
      <c r="H242" s="43"/>
      <c r="I242" s="25" t="s">
        <v>30</v>
      </c>
      <c r="J242" s="34" t="str">
        <f>IF(E242="","",raw_data!C234)</f>
        <v/>
      </c>
      <c r="K242" s="46"/>
      <c r="L242" s="87"/>
      <c r="M242" s="19" t="str">
        <f>IF(E242="","",raw_data!F234)</f>
        <v/>
      </c>
      <c r="N242" s="20" t="str">
        <f t="shared" si="12"/>
        <v/>
      </c>
      <c r="O242" s="90"/>
      <c r="P242" s="91"/>
      <c r="Q242" s="91"/>
      <c r="R242" s="91"/>
      <c r="S242" s="41" t="str">
        <f t="shared" si="11"/>
        <v/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2.75" customHeight="1" x14ac:dyDescent="0.2">
      <c r="A243" s="9">
        <v>16067</v>
      </c>
      <c r="B243" s="9" t="s">
        <v>126</v>
      </c>
      <c r="C243" s="9" t="s">
        <v>335</v>
      </c>
      <c r="D243" s="23"/>
      <c r="E243" s="42"/>
      <c r="F243" s="43"/>
      <c r="G243" s="42"/>
      <c r="H243" s="43"/>
      <c r="I243" s="25" t="s">
        <v>30</v>
      </c>
      <c r="J243" s="34" t="str">
        <f>IF(E243="","",raw_data!C235)</f>
        <v/>
      </c>
      <c r="K243" s="46"/>
      <c r="L243" s="87"/>
      <c r="M243" s="19" t="str">
        <f>IF(E243="","",raw_data!F235)</f>
        <v/>
      </c>
      <c r="N243" s="20" t="str">
        <f t="shared" si="12"/>
        <v/>
      </c>
      <c r="O243" s="90"/>
      <c r="P243" s="91"/>
      <c r="Q243" s="91"/>
      <c r="R243" s="91"/>
      <c r="S243" s="41" t="str">
        <f t="shared" si="11"/>
        <v/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2.75" customHeight="1" x14ac:dyDescent="0.2">
      <c r="A244" s="9">
        <v>16068</v>
      </c>
      <c r="B244" s="9" t="s">
        <v>126</v>
      </c>
      <c r="C244" s="9" t="s">
        <v>336</v>
      </c>
      <c r="D244" s="23"/>
      <c r="E244" s="42"/>
      <c r="F244" s="43"/>
      <c r="G244" s="42"/>
      <c r="H244" s="43"/>
      <c r="I244" s="25" t="s">
        <v>30</v>
      </c>
      <c r="J244" s="34" t="str">
        <f>IF(E244="","",raw_data!C236)</f>
        <v/>
      </c>
      <c r="K244" s="46"/>
      <c r="L244" s="87"/>
      <c r="M244" s="19" t="str">
        <f>IF(E244="","",raw_data!F236)</f>
        <v/>
      </c>
      <c r="N244" s="20" t="str">
        <f t="shared" si="12"/>
        <v/>
      </c>
      <c r="O244" s="90"/>
      <c r="P244" s="91"/>
      <c r="Q244" s="91"/>
      <c r="R244" s="91"/>
      <c r="S244" s="41" t="str">
        <f t="shared" si="11"/>
        <v/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2.75" customHeight="1" x14ac:dyDescent="0.2">
      <c r="A245" s="9">
        <v>16069</v>
      </c>
      <c r="B245" s="9" t="s">
        <v>126</v>
      </c>
      <c r="C245" s="9" t="s">
        <v>220</v>
      </c>
      <c r="D245" s="23"/>
      <c r="E245" s="42"/>
      <c r="F245" s="43"/>
      <c r="G245" s="42"/>
      <c r="H245" s="43"/>
      <c r="I245" s="25" t="s">
        <v>30</v>
      </c>
      <c r="J245" s="34" t="str">
        <f>IF(E245="","",raw_data!C237)</f>
        <v/>
      </c>
      <c r="K245" s="46"/>
      <c r="L245" s="87"/>
      <c r="M245" s="19" t="str">
        <f>IF(E245="","",raw_data!F237)</f>
        <v/>
      </c>
      <c r="N245" s="20" t="str">
        <f t="shared" si="12"/>
        <v/>
      </c>
      <c r="O245" s="90"/>
      <c r="P245" s="91"/>
      <c r="Q245" s="91"/>
      <c r="R245" s="91"/>
      <c r="S245" s="41" t="str">
        <f t="shared" si="11"/>
        <v/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2.75" customHeight="1" x14ac:dyDescent="0.2">
      <c r="A246" s="9">
        <v>16070</v>
      </c>
      <c r="B246" s="9" t="s">
        <v>126</v>
      </c>
      <c r="C246" s="9" t="s">
        <v>103</v>
      </c>
      <c r="D246" s="23"/>
      <c r="E246" s="42"/>
      <c r="F246" s="43"/>
      <c r="G246" s="42"/>
      <c r="H246" s="43"/>
      <c r="I246" s="25" t="s">
        <v>30</v>
      </c>
      <c r="J246" s="34" t="str">
        <f>IF(E246="","",raw_data!C238)</f>
        <v/>
      </c>
      <c r="K246" s="46"/>
      <c r="L246" s="87"/>
      <c r="M246" s="19" t="str">
        <f>IF(E246="","",raw_data!F238)</f>
        <v/>
      </c>
      <c r="N246" s="20" t="str">
        <f t="shared" si="12"/>
        <v/>
      </c>
      <c r="O246" s="90"/>
      <c r="P246" s="91"/>
      <c r="Q246" s="91"/>
      <c r="R246" s="91"/>
      <c r="S246" s="41" t="str">
        <f t="shared" si="11"/>
        <v/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2.75" customHeight="1" x14ac:dyDescent="0.2">
      <c r="A247" s="9" t="s">
        <v>433</v>
      </c>
      <c r="B247" s="9" t="s">
        <v>126</v>
      </c>
      <c r="C247" s="9" t="s">
        <v>221</v>
      </c>
      <c r="D247" s="23"/>
      <c r="E247" s="42"/>
      <c r="F247" s="43"/>
      <c r="G247" s="42"/>
      <c r="H247" s="43"/>
      <c r="I247" s="25" t="s">
        <v>30</v>
      </c>
      <c r="J247" s="34" t="str">
        <f>IF(E247="","",raw_data!C239)</f>
        <v/>
      </c>
      <c r="K247" s="46"/>
      <c r="L247" s="87"/>
      <c r="M247" s="19" t="str">
        <f>IF(E247="","",raw_data!F239)</f>
        <v/>
      </c>
      <c r="N247" s="20" t="str">
        <f t="shared" si="12"/>
        <v/>
      </c>
      <c r="O247" s="90"/>
      <c r="P247" s="91"/>
      <c r="Q247" s="91"/>
      <c r="R247" s="91"/>
      <c r="S247" s="41" t="str">
        <f t="shared" si="11"/>
        <v/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2.75" customHeight="1" x14ac:dyDescent="0.2">
      <c r="A248" s="9" t="s">
        <v>432</v>
      </c>
      <c r="B248" s="9" t="s">
        <v>126</v>
      </c>
      <c r="C248" s="9" t="s">
        <v>221</v>
      </c>
      <c r="D248" s="23" t="s">
        <v>377</v>
      </c>
      <c r="E248" s="42"/>
      <c r="F248" s="43"/>
      <c r="G248" s="42"/>
      <c r="H248" s="43"/>
      <c r="I248" s="25" t="s">
        <v>30</v>
      </c>
      <c r="J248" s="34" t="str">
        <f>IF(E248="","",raw_data!C240)</f>
        <v/>
      </c>
      <c r="K248" s="46"/>
      <c r="L248" s="87"/>
      <c r="M248" s="19" t="str">
        <f>IF(E248="","",raw_data!F240)</f>
        <v/>
      </c>
      <c r="N248" s="20" t="str">
        <f t="shared" si="12"/>
        <v/>
      </c>
      <c r="O248" s="90"/>
      <c r="P248" s="91"/>
      <c r="Q248" s="91"/>
      <c r="R248" s="91"/>
      <c r="S248" s="41" t="str">
        <f t="shared" si="11"/>
        <v/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2.75" customHeight="1" x14ac:dyDescent="0.2">
      <c r="A249" s="9">
        <v>16072</v>
      </c>
      <c r="B249" s="9" t="s">
        <v>126</v>
      </c>
      <c r="C249" s="9" t="s">
        <v>132</v>
      </c>
      <c r="D249" s="23"/>
      <c r="E249" s="42"/>
      <c r="F249" s="43"/>
      <c r="G249" s="42"/>
      <c r="H249" s="43"/>
      <c r="I249" s="25" t="s">
        <v>30</v>
      </c>
      <c r="J249" s="34" t="str">
        <f>IF(E249="","",raw_data!C241)</f>
        <v/>
      </c>
      <c r="K249" s="46"/>
      <c r="L249" s="87"/>
      <c r="M249" s="19" t="str">
        <f>IF(E249="","",raw_data!F241)</f>
        <v/>
      </c>
      <c r="N249" s="20" t="str">
        <f t="shared" si="12"/>
        <v/>
      </c>
      <c r="O249" s="90"/>
      <c r="P249" s="91"/>
      <c r="Q249" s="91"/>
      <c r="R249" s="91"/>
      <c r="S249" s="41" t="str">
        <f t="shared" si="11"/>
        <v/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2.75" customHeight="1" x14ac:dyDescent="0.2">
      <c r="A250" s="9">
        <v>17001</v>
      </c>
      <c r="B250" s="9" t="s">
        <v>133</v>
      </c>
      <c r="C250" s="9" t="s">
        <v>14</v>
      </c>
      <c r="D250" s="23"/>
      <c r="E250" s="42"/>
      <c r="F250" s="43"/>
      <c r="G250" s="42"/>
      <c r="H250" s="43"/>
      <c r="I250" s="25" t="s">
        <v>30</v>
      </c>
      <c r="J250" s="34" t="str">
        <f>IF(E250="","",raw_data!C242)</f>
        <v/>
      </c>
      <c r="K250" s="46"/>
      <c r="L250" s="87"/>
      <c r="M250" s="19" t="str">
        <f>IF(E250="","",raw_data!F242)</f>
        <v/>
      </c>
      <c r="N250" s="20" t="str">
        <f t="shared" si="12"/>
        <v/>
      </c>
      <c r="O250" s="90"/>
      <c r="P250" s="91"/>
      <c r="Q250" s="91"/>
      <c r="R250" s="91"/>
      <c r="S250" s="41" t="str">
        <f t="shared" si="11"/>
        <v/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2.75" customHeight="1" x14ac:dyDescent="0.2">
      <c r="A251" s="9">
        <v>17002</v>
      </c>
      <c r="B251" s="9" t="s">
        <v>133</v>
      </c>
      <c r="C251" s="9" t="s">
        <v>6</v>
      </c>
      <c r="D251" s="23"/>
      <c r="E251" s="42"/>
      <c r="F251" s="43"/>
      <c r="G251" s="42"/>
      <c r="H251" s="43"/>
      <c r="I251" s="25" t="s">
        <v>30</v>
      </c>
      <c r="J251" s="34" t="str">
        <f>IF(E251="","",raw_data!C243)</f>
        <v/>
      </c>
      <c r="K251" s="46"/>
      <c r="L251" s="87"/>
      <c r="M251" s="19" t="str">
        <f>IF(E251="","",raw_data!F243)</f>
        <v/>
      </c>
      <c r="N251" s="20" t="str">
        <f t="shared" si="12"/>
        <v/>
      </c>
      <c r="O251" s="90"/>
      <c r="P251" s="91"/>
      <c r="Q251" s="91"/>
      <c r="R251" s="91"/>
      <c r="S251" s="41" t="str">
        <f t="shared" si="11"/>
        <v/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2.75" customHeight="1" x14ac:dyDescent="0.2">
      <c r="A252" s="9">
        <v>17003</v>
      </c>
      <c r="B252" s="9" t="s">
        <v>133</v>
      </c>
      <c r="C252" s="9" t="s">
        <v>160</v>
      </c>
      <c r="D252" s="23"/>
      <c r="E252" s="42"/>
      <c r="F252" s="43"/>
      <c r="G252" s="42"/>
      <c r="H252" s="43"/>
      <c r="I252" s="25" t="s">
        <v>30</v>
      </c>
      <c r="J252" s="34" t="str">
        <f>IF(E252="","",raw_data!C244)</f>
        <v/>
      </c>
      <c r="K252" s="46"/>
      <c r="L252" s="87"/>
      <c r="M252" s="19" t="str">
        <f>IF(E252="","",raw_data!F244)</f>
        <v/>
      </c>
      <c r="N252" s="20" t="str">
        <f t="shared" si="12"/>
        <v/>
      </c>
      <c r="O252" s="90"/>
      <c r="P252" s="91"/>
      <c r="Q252" s="91"/>
      <c r="R252" s="91"/>
      <c r="S252" s="41" t="str">
        <f t="shared" si="11"/>
        <v/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2.75" customHeight="1" x14ac:dyDescent="0.2">
      <c r="A253" s="9">
        <v>17004</v>
      </c>
      <c r="B253" s="9" t="s">
        <v>133</v>
      </c>
      <c r="C253" s="9" t="s">
        <v>161</v>
      </c>
      <c r="D253" s="23"/>
      <c r="E253" s="42"/>
      <c r="F253" s="43"/>
      <c r="G253" s="42"/>
      <c r="H253" s="43"/>
      <c r="I253" s="25" t="s">
        <v>30</v>
      </c>
      <c r="J253" s="34" t="str">
        <f>IF(E253="","",raw_data!C245)</f>
        <v/>
      </c>
      <c r="K253" s="46"/>
      <c r="L253" s="87"/>
      <c r="M253" s="19" t="str">
        <f>IF(E253="","",raw_data!F245)</f>
        <v/>
      </c>
      <c r="N253" s="20" t="str">
        <f t="shared" si="12"/>
        <v/>
      </c>
      <c r="O253" s="90"/>
      <c r="P253" s="91"/>
      <c r="Q253" s="91"/>
      <c r="R253" s="91"/>
      <c r="S253" s="41" t="str">
        <f t="shared" si="11"/>
        <v/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2.75" customHeight="1" x14ac:dyDescent="0.2">
      <c r="A254" s="9">
        <v>17005</v>
      </c>
      <c r="B254" s="9" t="s">
        <v>133</v>
      </c>
      <c r="C254" s="9" t="s">
        <v>184</v>
      </c>
      <c r="D254" s="23"/>
      <c r="E254" s="42"/>
      <c r="F254" s="43"/>
      <c r="G254" s="42"/>
      <c r="H254" s="43"/>
      <c r="I254" s="25" t="s">
        <v>30</v>
      </c>
      <c r="J254" s="34" t="str">
        <f>IF(E254="","",raw_data!C246)</f>
        <v/>
      </c>
      <c r="K254" s="46"/>
      <c r="L254" s="87"/>
      <c r="M254" s="19" t="str">
        <f>IF(E254="","",raw_data!F246)</f>
        <v/>
      </c>
      <c r="N254" s="20" t="str">
        <f t="shared" si="12"/>
        <v/>
      </c>
      <c r="O254" s="90"/>
      <c r="P254" s="91"/>
      <c r="Q254" s="91"/>
      <c r="R254" s="91"/>
      <c r="S254" s="41" t="str">
        <f t="shared" si="11"/>
        <v/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2.75" customHeight="1" x14ac:dyDescent="0.2">
      <c r="A255" s="9">
        <v>17006</v>
      </c>
      <c r="B255" s="9" t="s">
        <v>133</v>
      </c>
      <c r="C255" s="9" t="s">
        <v>222</v>
      </c>
      <c r="D255" s="23"/>
      <c r="E255" s="42"/>
      <c r="F255" s="43"/>
      <c r="G255" s="42"/>
      <c r="H255" s="43"/>
      <c r="I255" s="25" t="s">
        <v>30</v>
      </c>
      <c r="J255" s="34" t="str">
        <f>IF(E255="","",raw_data!C247)</f>
        <v/>
      </c>
      <c r="K255" s="46"/>
      <c r="L255" s="87"/>
      <c r="M255" s="19" t="str">
        <f>IF(E255="","",raw_data!F247)</f>
        <v/>
      </c>
      <c r="N255" s="20" t="str">
        <f t="shared" si="12"/>
        <v/>
      </c>
      <c r="O255" s="90"/>
      <c r="P255" s="91"/>
      <c r="Q255" s="91"/>
      <c r="R255" s="91"/>
      <c r="S255" s="41" t="str">
        <f t="shared" si="11"/>
        <v/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2.75" customHeight="1" x14ac:dyDescent="0.2">
      <c r="A256" s="9">
        <v>17007</v>
      </c>
      <c r="B256" s="9" t="s">
        <v>133</v>
      </c>
      <c r="C256" s="9" t="s">
        <v>162</v>
      </c>
      <c r="D256" s="23"/>
      <c r="E256" s="42"/>
      <c r="F256" s="43"/>
      <c r="G256" s="42"/>
      <c r="H256" s="43"/>
      <c r="I256" s="25" t="s">
        <v>30</v>
      </c>
      <c r="J256" s="34" t="str">
        <f>IF(E256="","",raw_data!C248)</f>
        <v/>
      </c>
      <c r="K256" s="46"/>
      <c r="L256" s="87"/>
      <c r="M256" s="19" t="str">
        <f>IF(E256="","",raw_data!F248)</f>
        <v/>
      </c>
      <c r="N256" s="20" t="str">
        <f t="shared" si="12"/>
        <v/>
      </c>
      <c r="O256" s="90"/>
      <c r="P256" s="91"/>
      <c r="Q256" s="91"/>
      <c r="R256" s="91"/>
      <c r="S256" s="41" t="str">
        <f t="shared" si="11"/>
        <v/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2.75" customHeight="1" x14ac:dyDescent="0.2">
      <c r="A257" s="9">
        <v>17008</v>
      </c>
      <c r="B257" s="9" t="s">
        <v>133</v>
      </c>
      <c r="C257" s="9" t="s">
        <v>9</v>
      </c>
      <c r="D257" s="23"/>
      <c r="E257" s="42"/>
      <c r="F257" s="43"/>
      <c r="G257" s="42"/>
      <c r="H257" s="43"/>
      <c r="I257" s="25" t="s">
        <v>30</v>
      </c>
      <c r="J257" s="34" t="str">
        <f>IF(E257="","",raw_data!C249)</f>
        <v/>
      </c>
      <c r="K257" s="46"/>
      <c r="L257" s="87"/>
      <c r="M257" s="19" t="str">
        <f>IF(E257="","",raw_data!F249)</f>
        <v/>
      </c>
      <c r="N257" s="20" t="str">
        <f t="shared" si="12"/>
        <v/>
      </c>
      <c r="O257" s="90"/>
      <c r="P257" s="91"/>
      <c r="Q257" s="91"/>
      <c r="R257" s="91"/>
      <c r="S257" s="41" t="str">
        <f t="shared" si="11"/>
        <v/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2.75" customHeight="1" x14ac:dyDescent="0.2">
      <c r="A258" s="9">
        <v>18001</v>
      </c>
      <c r="B258" s="9" t="s">
        <v>13</v>
      </c>
      <c r="C258" s="9" t="s">
        <v>14</v>
      </c>
      <c r="D258" s="23"/>
      <c r="E258" s="42"/>
      <c r="F258" s="43"/>
      <c r="G258" s="42"/>
      <c r="H258" s="43"/>
      <c r="I258" s="25" t="s">
        <v>13</v>
      </c>
      <c r="J258" s="34" t="str">
        <f>IF(E258="","",raw_data!C250)</f>
        <v/>
      </c>
      <c r="K258" s="46"/>
      <c r="L258" s="87"/>
      <c r="M258" s="19" t="str">
        <f>IF(E258="","",raw_data!F250)</f>
        <v/>
      </c>
      <c r="N258" s="20" t="str">
        <f t="shared" si="12"/>
        <v/>
      </c>
      <c r="O258" s="90"/>
      <c r="P258" s="91"/>
      <c r="Q258" s="91"/>
      <c r="R258" s="91"/>
      <c r="S258" s="41" t="str">
        <f t="shared" si="11"/>
        <v/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2.75" customHeight="1" x14ac:dyDescent="0.2">
      <c r="A259" s="9">
        <v>18002</v>
      </c>
      <c r="B259" s="9" t="s">
        <v>13</v>
      </c>
      <c r="C259" s="9" t="s">
        <v>16</v>
      </c>
      <c r="D259" s="23"/>
      <c r="E259" s="42"/>
      <c r="F259" s="43"/>
      <c r="G259" s="42"/>
      <c r="H259" s="43"/>
      <c r="I259" s="25" t="s">
        <v>13</v>
      </c>
      <c r="J259" s="34" t="str">
        <f>IF(E259="","",raw_data!C251)</f>
        <v/>
      </c>
      <c r="K259" s="46"/>
      <c r="L259" s="87"/>
      <c r="M259" s="19" t="str">
        <f>IF(E259="","",raw_data!F251)</f>
        <v/>
      </c>
      <c r="N259" s="20" t="str">
        <f t="shared" si="12"/>
        <v/>
      </c>
      <c r="O259" s="90"/>
      <c r="P259" s="91"/>
      <c r="Q259" s="91"/>
      <c r="R259" s="91"/>
      <c r="S259" s="41" t="str">
        <f t="shared" si="11"/>
        <v/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2.75" customHeight="1" x14ac:dyDescent="0.2">
      <c r="A260" s="9">
        <v>18003</v>
      </c>
      <c r="B260" s="9" t="s">
        <v>13</v>
      </c>
      <c r="C260" s="9" t="s">
        <v>17</v>
      </c>
      <c r="D260" s="23"/>
      <c r="E260" s="42"/>
      <c r="F260" s="43"/>
      <c r="G260" s="42"/>
      <c r="H260" s="43"/>
      <c r="I260" s="25" t="s">
        <v>13</v>
      </c>
      <c r="J260" s="34" t="str">
        <f>IF(E260="","",raw_data!C252)</f>
        <v/>
      </c>
      <c r="K260" s="46"/>
      <c r="L260" s="87"/>
      <c r="M260" s="19" t="str">
        <f>IF(E260="","",raw_data!F252)</f>
        <v/>
      </c>
      <c r="N260" s="20" t="str">
        <f t="shared" si="12"/>
        <v/>
      </c>
      <c r="O260" s="90"/>
      <c r="P260" s="91"/>
      <c r="Q260" s="91"/>
      <c r="R260" s="91"/>
      <c r="S260" s="41" t="str">
        <f t="shared" si="11"/>
        <v/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2.75" customHeight="1" x14ac:dyDescent="0.2">
      <c r="A261" s="9">
        <v>18004</v>
      </c>
      <c r="B261" s="9" t="s">
        <v>13</v>
      </c>
      <c r="C261" s="9" t="s">
        <v>18</v>
      </c>
      <c r="D261" s="23"/>
      <c r="E261" s="42"/>
      <c r="F261" s="43"/>
      <c r="G261" s="42"/>
      <c r="H261" s="43"/>
      <c r="I261" s="25" t="s">
        <v>13</v>
      </c>
      <c r="J261" s="34" t="str">
        <f>IF(E261="","",raw_data!C253)</f>
        <v/>
      </c>
      <c r="K261" s="46"/>
      <c r="L261" s="87"/>
      <c r="M261" s="19" t="str">
        <f>IF(E261="","",raw_data!F253)</f>
        <v/>
      </c>
      <c r="N261" s="20" t="str">
        <f t="shared" si="12"/>
        <v/>
      </c>
      <c r="O261" s="90"/>
      <c r="P261" s="91"/>
      <c r="Q261" s="91"/>
      <c r="R261" s="91"/>
      <c r="S261" s="41" t="str">
        <f t="shared" si="11"/>
        <v/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2.75" customHeight="1" x14ac:dyDescent="0.2">
      <c r="A262" s="9">
        <v>18005</v>
      </c>
      <c r="B262" s="9" t="s">
        <v>13</v>
      </c>
      <c r="C262" s="9" t="s">
        <v>19</v>
      </c>
      <c r="D262" s="23"/>
      <c r="E262" s="42"/>
      <c r="F262" s="43"/>
      <c r="G262" s="42"/>
      <c r="H262" s="43"/>
      <c r="I262" s="25" t="s">
        <v>13</v>
      </c>
      <c r="J262" s="34" t="str">
        <f>IF(E262="","",raw_data!C254)</f>
        <v/>
      </c>
      <c r="K262" s="46"/>
      <c r="L262" s="87"/>
      <c r="M262" s="19" t="str">
        <f>IF(E262="","",raw_data!F254)</f>
        <v/>
      </c>
      <c r="N262" s="20" t="str">
        <f t="shared" si="12"/>
        <v/>
      </c>
      <c r="O262" s="90"/>
      <c r="P262" s="91"/>
      <c r="Q262" s="91"/>
      <c r="R262" s="91"/>
      <c r="S262" s="41" t="str">
        <f t="shared" si="11"/>
        <v/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2.75" customHeight="1" x14ac:dyDescent="0.2">
      <c r="A263" s="9">
        <v>18006</v>
      </c>
      <c r="B263" s="9" t="s">
        <v>13</v>
      </c>
      <c r="C263" s="9" t="s">
        <v>160</v>
      </c>
      <c r="D263" s="23"/>
      <c r="E263" s="42"/>
      <c r="F263" s="43"/>
      <c r="G263" s="42"/>
      <c r="H263" s="43"/>
      <c r="I263" s="25" t="s">
        <v>13</v>
      </c>
      <c r="J263" s="34" t="str">
        <f>IF(E263="","",raw_data!C255)</f>
        <v/>
      </c>
      <c r="K263" s="46"/>
      <c r="L263" s="87"/>
      <c r="M263" s="19" t="str">
        <f>IF(E263="","",raw_data!F255)</f>
        <v/>
      </c>
      <c r="N263" s="20" t="str">
        <f t="shared" si="12"/>
        <v/>
      </c>
      <c r="O263" s="90"/>
      <c r="P263" s="91"/>
      <c r="Q263" s="91"/>
      <c r="R263" s="91"/>
      <c r="S263" s="41" t="str">
        <f t="shared" si="11"/>
        <v/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2.75" customHeight="1" x14ac:dyDescent="0.2">
      <c r="A264" s="9">
        <v>18007</v>
      </c>
      <c r="B264" s="9" t="s">
        <v>13</v>
      </c>
      <c r="C264" s="9" t="s">
        <v>161</v>
      </c>
      <c r="D264" s="23"/>
      <c r="E264" s="42"/>
      <c r="F264" s="43"/>
      <c r="G264" s="42"/>
      <c r="H264" s="43"/>
      <c r="I264" s="25" t="s">
        <v>13</v>
      </c>
      <c r="J264" s="34" t="str">
        <f>IF(E264="","",raw_data!C256)</f>
        <v/>
      </c>
      <c r="K264" s="46"/>
      <c r="L264" s="87"/>
      <c r="M264" s="19" t="str">
        <f>IF(E264="","",raw_data!F256)</f>
        <v/>
      </c>
      <c r="N264" s="20" t="str">
        <f t="shared" si="12"/>
        <v/>
      </c>
      <c r="O264" s="90"/>
      <c r="P264" s="91"/>
      <c r="Q264" s="91"/>
      <c r="R264" s="91"/>
      <c r="S264" s="41" t="str">
        <f t="shared" si="11"/>
        <v/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2.75" customHeight="1" x14ac:dyDescent="0.2">
      <c r="A265" s="9">
        <v>18008</v>
      </c>
      <c r="B265" s="9" t="s">
        <v>13</v>
      </c>
      <c r="C265" s="9" t="s">
        <v>20</v>
      </c>
      <c r="D265" s="23"/>
      <c r="E265" s="42"/>
      <c r="F265" s="43"/>
      <c r="G265" s="42"/>
      <c r="H265" s="43"/>
      <c r="I265" s="25" t="s">
        <v>13</v>
      </c>
      <c r="J265" s="34" t="str">
        <f>IF(E265="","",raw_data!C257)</f>
        <v/>
      </c>
      <c r="K265" s="46"/>
      <c r="L265" s="87"/>
      <c r="M265" s="19" t="str">
        <f>IF(E265="","",raw_data!F257)</f>
        <v/>
      </c>
      <c r="N265" s="20" t="str">
        <f t="shared" si="12"/>
        <v/>
      </c>
      <c r="O265" s="90"/>
      <c r="P265" s="91"/>
      <c r="Q265" s="91"/>
      <c r="R265" s="91"/>
      <c r="S265" s="41" t="str">
        <f t="shared" si="11"/>
        <v/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2.75" customHeight="1" x14ac:dyDescent="0.2">
      <c r="A266" s="9">
        <v>18009</v>
      </c>
      <c r="B266" s="9" t="s">
        <v>13</v>
      </c>
      <c r="C266" s="9" t="s">
        <v>21</v>
      </c>
      <c r="D266" s="23"/>
      <c r="E266" s="42"/>
      <c r="F266" s="43"/>
      <c r="G266" s="42"/>
      <c r="H266" s="43"/>
      <c r="I266" s="25" t="s">
        <v>13</v>
      </c>
      <c r="J266" s="34" t="str">
        <f>IF(E266="","",raw_data!C258)</f>
        <v/>
      </c>
      <c r="K266" s="46"/>
      <c r="L266" s="87"/>
      <c r="M266" s="19" t="str">
        <f>IF(E266="","",raw_data!F258)</f>
        <v/>
      </c>
      <c r="N266" s="20" t="str">
        <f t="shared" si="12"/>
        <v/>
      </c>
      <c r="O266" s="90"/>
      <c r="P266" s="91"/>
      <c r="Q266" s="91"/>
      <c r="R266" s="91"/>
      <c r="S266" s="41" t="str">
        <f t="shared" ref="S266:S329" si="13">IF(E266="","",IF(OR(NOT(ISNUMBER(N266)),N266&lt;=(1-E266)),"erfüllt",IF(G266="Fehler","mit Fehler",IF(G266="Warnung","mit Warnung",""))))</f>
        <v/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2.75" customHeight="1" x14ac:dyDescent="0.2">
      <c r="A267" s="9">
        <v>18010</v>
      </c>
      <c r="B267" s="9" t="s">
        <v>13</v>
      </c>
      <c r="C267" s="9" t="s">
        <v>223</v>
      </c>
      <c r="D267" s="23"/>
      <c r="E267" s="42"/>
      <c r="F267" s="43"/>
      <c r="G267" s="42"/>
      <c r="H267" s="43"/>
      <c r="I267" s="25" t="s">
        <v>13</v>
      </c>
      <c r="J267" s="34" t="str">
        <f>IF(E267="","",raw_data!C259)</f>
        <v/>
      </c>
      <c r="K267" s="46"/>
      <c r="L267" s="87"/>
      <c r="M267" s="19" t="str">
        <f>IF(E267="","",raw_data!F259)</f>
        <v/>
      </c>
      <c r="N267" s="20" t="str">
        <f t="shared" ref="N267:N330" si="14">IF(E267="","",IFERROR(M267/J267,"-"))</f>
        <v/>
      </c>
      <c r="O267" s="90"/>
      <c r="P267" s="91"/>
      <c r="Q267" s="91"/>
      <c r="R267" s="91"/>
      <c r="S267" s="41" t="str">
        <f t="shared" si="13"/>
        <v/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2.75" customHeight="1" x14ac:dyDescent="0.2">
      <c r="A268" s="9">
        <v>18011</v>
      </c>
      <c r="B268" s="9" t="s">
        <v>13</v>
      </c>
      <c r="C268" s="9" t="s">
        <v>224</v>
      </c>
      <c r="D268" s="23"/>
      <c r="E268" s="42"/>
      <c r="F268" s="43"/>
      <c r="G268" s="42"/>
      <c r="H268" s="43"/>
      <c r="I268" s="25" t="s">
        <v>13</v>
      </c>
      <c r="J268" s="34" t="str">
        <f>IF(E268="","",raw_data!C260)</f>
        <v/>
      </c>
      <c r="K268" s="46"/>
      <c r="L268" s="87"/>
      <c r="M268" s="19" t="str">
        <f>IF(E268="","",raw_data!F260)</f>
        <v/>
      </c>
      <c r="N268" s="20" t="str">
        <f t="shared" si="14"/>
        <v/>
      </c>
      <c r="O268" s="90"/>
      <c r="P268" s="91"/>
      <c r="Q268" s="91"/>
      <c r="R268" s="91"/>
      <c r="S268" s="41" t="str">
        <f t="shared" si="13"/>
        <v/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2.75" customHeight="1" x14ac:dyDescent="0.2">
      <c r="A269" s="9">
        <v>18012</v>
      </c>
      <c r="B269" s="9" t="s">
        <v>13</v>
      </c>
      <c r="C269" s="9" t="s">
        <v>22</v>
      </c>
      <c r="D269" s="23"/>
      <c r="E269" s="42"/>
      <c r="F269" s="43"/>
      <c r="G269" s="42"/>
      <c r="H269" s="43"/>
      <c r="I269" s="25" t="s">
        <v>13</v>
      </c>
      <c r="J269" s="34" t="str">
        <f>IF(E269="","",raw_data!C261)</f>
        <v/>
      </c>
      <c r="K269" s="46"/>
      <c r="L269" s="87"/>
      <c r="M269" s="19" t="str">
        <f>IF(E269="","",raw_data!F261)</f>
        <v/>
      </c>
      <c r="N269" s="20" t="str">
        <f t="shared" si="14"/>
        <v/>
      </c>
      <c r="O269" s="90"/>
      <c r="P269" s="91"/>
      <c r="Q269" s="91"/>
      <c r="R269" s="91"/>
      <c r="S269" s="41" t="str">
        <f t="shared" si="13"/>
        <v/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2.75" customHeight="1" x14ac:dyDescent="0.2">
      <c r="A270" s="9">
        <v>18013</v>
      </c>
      <c r="B270" s="9" t="s">
        <v>13</v>
      </c>
      <c r="C270" s="9" t="s">
        <v>225</v>
      </c>
      <c r="D270" s="23"/>
      <c r="E270" s="42"/>
      <c r="F270" s="43"/>
      <c r="G270" s="42"/>
      <c r="H270" s="43"/>
      <c r="I270" s="25" t="s">
        <v>13</v>
      </c>
      <c r="J270" s="34" t="str">
        <f>IF(E270="","",raw_data!C262)</f>
        <v/>
      </c>
      <c r="K270" s="46"/>
      <c r="L270" s="87"/>
      <c r="M270" s="19" t="str">
        <f>IF(E270="","",raw_data!F262)</f>
        <v/>
      </c>
      <c r="N270" s="20" t="str">
        <f t="shared" si="14"/>
        <v/>
      </c>
      <c r="O270" s="90"/>
      <c r="P270" s="91"/>
      <c r="Q270" s="91"/>
      <c r="R270" s="91"/>
      <c r="S270" s="41" t="str">
        <f t="shared" si="13"/>
        <v/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2.75" customHeight="1" x14ac:dyDescent="0.2">
      <c r="A271" s="9">
        <v>18014</v>
      </c>
      <c r="B271" s="9" t="s">
        <v>13</v>
      </c>
      <c r="C271" s="9" t="s">
        <v>23</v>
      </c>
      <c r="D271" s="23"/>
      <c r="E271" s="42"/>
      <c r="F271" s="43"/>
      <c r="G271" s="42"/>
      <c r="H271" s="43"/>
      <c r="I271" s="25" t="s">
        <v>13</v>
      </c>
      <c r="J271" s="34" t="str">
        <f>IF(E271="","",raw_data!C263)</f>
        <v/>
      </c>
      <c r="K271" s="46"/>
      <c r="L271" s="87"/>
      <c r="M271" s="19" t="str">
        <f>IF(E271="","",raw_data!F263)</f>
        <v/>
      </c>
      <c r="N271" s="20" t="str">
        <f t="shared" si="14"/>
        <v/>
      </c>
      <c r="O271" s="90"/>
      <c r="P271" s="91"/>
      <c r="Q271" s="91"/>
      <c r="R271" s="91"/>
      <c r="S271" s="41" t="str">
        <f t="shared" si="13"/>
        <v/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2.75" customHeight="1" x14ac:dyDescent="0.2">
      <c r="A272" s="9">
        <v>18015</v>
      </c>
      <c r="B272" s="9" t="s">
        <v>13</v>
      </c>
      <c r="C272" s="9" t="s">
        <v>226</v>
      </c>
      <c r="D272" s="23"/>
      <c r="E272" s="42"/>
      <c r="F272" s="43"/>
      <c r="G272" s="42"/>
      <c r="H272" s="43"/>
      <c r="I272" s="25" t="s">
        <v>13</v>
      </c>
      <c r="J272" s="34" t="str">
        <f>IF(E272="","",raw_data!C264)</f>
        <v/>
      </c>
      <c r="K272" s="46"/>
      <c r="L272" s="87"/>
      <c r="M272" s="19" t="str">
        <f>IF(E272="","",raw_data!F264)</f>
        <v/>
      </c>
      <c r="N272" s="20" t="str">
        <f t="shared" si="14"/>
        <v/>
      </c>
      <c r="O272" s="90"/>
      <c r="P272" s="91"/>
      <c r="Q272" s="91"/>
      <c r="R272" s="91"/>
      <c r="S272" s="41" t="str">
        <f t="shared" si="13"/>
        <v/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2.75" customHeight="1" x14ac:dyDescent="0.2">
      <c r="A273" s="9">
        <v>18016</v>
      </c>
      <c r="B273" s="9" t="s">
        <v>13</v>
      </c>
      <c r="C273" s="9" t="s">
        <v>227</v>
      </c>
      <c r="D273" s="23"/>
      <c r="E273" s="42"/>
      <c r="F273" s="43"/>
      <c r="G273" s="42"/>
      <c r="H273" s="43"/>
      <c r="I273" s="25" t="s">
        <v>13</v>
      </c>
      <c r="J273" s="34" t="str">
        <f>IF(E273="","",raw_data!C265)</f>
        <v/>
      </c>
      <c r="K273" s="46"/>
      <c r="L273" s="87"/>
      <c r="M273" s="19" t="str">
        <f>IF(E273="","",raw_data!F265)</f>
        <v/>
      </c>
      <c r="N273" s="20" t="str">
        <f t="shared" si="14"/>
        <v/>
      </c>
      <c r="O273" s="90"/>
      <c r="P273" s="91"/>
      <c r="Q273" s="91"/>
      <c r="R273" s="91"/>
      <c r="S273" s="41" t="str">
        <f t="shared" si="13"/>
        <v/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2.75" customHeight="1" x14ac:dyDescent="0.2">
      <c r="A274" s="9">
        <v>18017</v>
      </c>
      <c r="B274" s="9" t="s">
        <v>13</v>
      </c>
      <c r="C274" s="9" t="s">
        <v>162</v>
      </c>
      <c r="D274" s="23"/>
      <c r="E274" s="42"/>
      <c r="F274" s="43"/>
      <c r="G274" s="42"/>
      <c r="H274" s="43"/>
      <c r="I274" s="25" t="s">
        <v>13</v>
      </c>
      <c r="J274" s="34" t="str">
        <f>IF(E274="","",raw_data!C266)</f>
        <v/>
      </c>
      <c r="K274" s="46"/>
      <c r="L274" s="87"/>
      <c r="M274" s="19" t="str">
        <f>IF(E274="","",raw_data!F266)</f>
        <v/>
      </c>
      <c r="N274" s="20" t="str">
        <f t="shared" si="14"/>
        <v/>
      </c>
      <c r="O274" s="90"/>
      <c r="P274" s="91"/>
      <c r="Q274" s="91"/>
      <c r="R274" s="91"/>
      <c r="S274" s="41" t="str">
        <f t="shared" si="13"/>
        <v/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2.75" customHeight="1" x14ac:dyDescent="0.2">
      <c r="A275" s="9">
        <v>18018</v>
      </c>
      <c r="B275" s="9" t="s">
        <v>13</v>
      </c>
      <c r="C275" s="9" t="s">
        <v>24</v>
      </c>
      <c r="D275" s="23"/>
      <c r="E275" s="42"/>
      <c r="F275" s="43"/>
      <c r="G275" s="42"/>
      <c r="H275" s="43"/>
      <c r="I275" s="25" t="s">
        <v>13</v>
      </c>
      <c r="J275" s="34" t="str">
        <f>IF(E275="","",raw_data!C267)</f>
        <v/>
      </c>
      <c r="K275" s="46"/>
      <c r="L275" s="87"/>
      <c r="M275" s="19" t="str">
        <f>IF(E275="","",raw_data!F267)</f>
        <v/>
      </c>
      <c r="N275" s="20" t="str">
        <f t="shared" si="14"/>
        <v/>
      </c>
      <c r="O275" s="90"/>
      <c r="P275" s="91"/>
      <c r="Q275" s="91"/>
      <c r="R275" s="91"/>
      <c r="S275" s="41" t="str">
        <f t="shared" si="13"/>
        <v/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2.75" customHeight="1" x14ac:dyDescent="0.2">
      <c r="A276" s="9">
        <v>18019</v>
      </c>
      <c r="B276" s="9" t="s">
        <v>13</v>
      </c>
      <c r="C276" s="9" t="s">
        <v>25</v>
      </c>
      <c r="D276" s="23"/>
      <c r="E276" s="42"/>
      <c r="F276" s="43"/>
      <c r="G276" s="42"/>
      <c r="H276" s="43"/>
      <c r="I276" s="25" t="s">
        <v>13</v>
      </c>
      <c r="J276" s="34" t="str">
        <f>IF(E276="","",raw_data!C268)</f>
        <v/>
      </c>
      <c r="K276" s="46"/>
      <c r="L276" s="87"/>
      <c r="M276" s="19" t="str">
        <f>IF(E276="","",raw_data!F268)</f>
        <v/>
      </c>
      <c r="N276" s="20" t="str">
        <f t="shared" si="14"/>
        <v/>
      </c>
      <c r="O276" s="90"/>
      <c r="P276" s="91"/>
      <c r="Q276" s="91"/>
      <c r="R276" s="91"/>
      <c r="S276" s="41" t="str">
        <f t="shared" si="13"/>
        <v/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2.75" customHeight="1" x14ac:dyDescent="0.2">
      <c r="A277" s="9">
        <v>18020</v>
      </c>
      <c r="B277" s="9" t="s">
        <v>13</v>
      </c>
      <c r="C277" s="9" t="s">
        <v>26</v>
      </c>
      <c r="D277" s="23"/>
      <c r="E277" s="42"/>
      <c r="F277" s="43"/>
      <c r="G277" s="42"/>
      <c r="H277" s="43"/>
      <c r="I277" s="25" t="s">
        <v>13</v>
      </c>
      <c r="J277" s="34" t="str">
        <f>IF(E277="","",raw_data!C269)</f>
        <v/>
      </c>
      <c r="K277" s="46"/>
      <c r="L277" s="87"/>
      <c r="M277" s="19" t="str">
        <f>IF(E277="","",raw_data!F269)</f>
        <v/>
      </c>
      <c r="N277" s="20" t="str">
        <f t="shared" si="14"/>
        <v/>
      </c>
      <c r="O277" s="90"/>
      <c r="P277" s="91"/>
      <c r="Q277" s="91"/>
      <c r="R277" s="91"/>
      <c r="S277" s="41" t="str">
        <f t="shared" si="13"/>
        <v/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2.75" customHeight="1" x14ac:dyDescent="0.2">
      <c r="A278" s="9">
        <v>18021</v>
      </c>
      <c r="B278" s="9" t="s">
        <v>13</v>
      </c>
      <c r="C278" s="9" t="s">
        <v>27</v>
      </c>
      <c r="D278" s="23"/>
      <c r="E278" s="42"/>
      <c r="F278" s="43"/>
      <c r="G278" s="42"/>
      <c r="H278" s="43"/>
      <c r="I278" s="25" t="s">
        <v>13</v>
      </c>
      <c r="J278" s="34" t="str">
        <f>IF(E278="","",raw_data!C270)</f>
        <v/>
      </c>
      <c r="K278" s="46"/>
      <c r="L278" s="87"/>
      <c r="M278" s="19" t="str">
        <f>IF(E278="","",raw_data!F270)</f>
        <v/>
      </c>
      <c r="N278" s="20" t="str">
        <f t="shared" si="14"/>
        <v/>
      </c>
      <c r="O278" s="90"/>
      <c r="P278" s="91"/>
      <c r="Q278" s="91"/>
      <c r="R278" s="91"/>
      <c r="S278" s="41" t="str">
        <f t="shared" si="13"/>
        <v/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2.75" customHeight="1" x14ac:dyDescent="0.2">
      <c r="A279" s="9">
        <v>18022</v>
      </c>
      <c r="B279" s="9" t="s">
        <v>13</v>
      </c>
      <c r="C279" s="9" t="s">
        <v>228</v>
      </c>
      <c r="D279" s="23"/>
      <c r="E279" s="42"/>
      <c r="F279" s="43"/>
      <c r="G279" s="42"/>
      <c r="H279" s="43"/>
      <c r="I279" s="25" t="s">
        <v>13</v>
      </c>
      <c r="J279" s="34" t="str">
        <f>IF(E279="","",raw_data!C271)</f>
        <v/>
      </c>
      <c r="K279" s="46"/>
      <c r="L279" s="87"/>
      <c r="M279" s="19" t="str">
        <f>IF(E279="","",raw_data!F271)</f>
        <v/>
      </c>
      <c r="N279" s="20" t="str">
        <f t="shared" si="14"/>
        <v/>
      </c>
      <c r="O279" s="90"/>
      <c r="P279" s="91"/>
      <c r="Q279" s="91"/>
      <c r="R279" s="91"/>
      <c r="S279" s="41" t="str">
        <f t="shared" si="13"/>
        <v/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2.75" customHeight="1" x14ac:dyDescent="0.2">
      <c r="A280" s="9">
        <v>18023</v>
      </c>
      <c r="B280" s="9" t="s">
        <v>13</v>
      </c>
      <c r="C280" s="9" t="s">
        <v>28</v>
      </c>
      <c r="D280" s="23"/>
      <c r="E280" s="42"/>
      <c r="F280" s="43"/>
      <c r="G280" s="42"/>
      <c r="H280" s="43"/>
      <c r="I280" s="25" t="s">
        <v>13</v>
      </c>
      <c r="J280" s="34" t="str">
        <f>IF(E280="","",raw_data!C272)</f>
        <v/>
      </c>
      <c r="K280" s="46"/>
      <c r="L280" s="87"/>
      <c r="M280" s="19" t="str">
        <f>IF(E280="","",raw_data!F272)</f>
        <v/>
      </c>
      <c r="N280" s="20" t="str">
        <f t="shared" si="14"/>
        <v/>
      </c>
      <c r="O280" s="90"/>
      <c r="P280" s="91"/>
      <c r="Q280" s="91"/>
      <c r="R280" s="91"/>
      <c r="S280" s="41" t="str">
        <f t="shared" si="13"/>
        <v/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2.75" customHeight="1" x14ac:dyDescent="0.2">
      <c r="A281" s="9">
        <v>18024</v>
      </c>
      <c r="B281" s="9" t="s">
        <v>13</v>
      </c>
      <c r="C281" s="9" t="s">
        <v>229</v>
      </c>
      <c r="D281" s="23"/>
      <c r="E281" s="42"/>
      <c r="F281" s="43"/>
      <c r="G281" s="42"/>
      <c r="H281" s="43"/>
      <c r="I281" s="25" t="s">
        <v>13</v>
      </c>
      <c r="J281" s="34" t="str">
        <f>IF(E281="","",raw_data!C273)</f>
        <v/>
      </c>
      <c r="K281" s="46"/>
      <c r="L281" s="87"/>
      <c r="M281" s="19" t="str">
        <f>IF(E281="","",raw_data!F273)</f>
        <v/>
      </c>
      <c r="N281" s="20" t="str">
        <f t="shared" si="14"/>
        <v/>
      </c>
      <c r="O281" s="90"/>
      <c r="P281" s="91"/>
      <c r="Q281" s="91"/>
      <c r="R281" s="91"/>
      <c r="S281" s="41" t="str">
        <f t="shared" si="13"/>
        <v/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2.75" customHeight="1" x14ac:dyDescent="0.2">
      <c r="A282" s="9">
        <v>18025</v>
      </c>
      <c r="B282" s="9" t="s">
        <v>13</v>
      </c>
      <c r="C282" s="9" t="s">
        <v>230</v>
      </c>
      <c r="D282" s="23"/>
      <c r="E282" s="42"/>
      <c r="F282" s="43"/>
      <c r="G282" s="42"/>
      <c r="H282" s="43"/>
      <c r="I282" s="25" t="s">
        <v>13</v>
      </c>
      <c r="J282" s="34" t="str">
        <f>IF(E282="","",raw_data!C274)</f>
        <v/>
      </c>
      <c r="K282" s="46"/>
      <c r="L282" s="87"/>
      <c r="M282" s="19" t="str">
        <f>IF(E282="","",raw_data!F274)</f>
        <v/>
      </c>
      <c r="N282" s="20" t="str">
        <f t="shared" si="14"/>
        <v/>
      </c>
      <c r="O282" s="90"/>
      <c r="P282" s="91"/>
      <c r="Q282" s="91"/>
      <c r="R282" s="91"/>
      <c r="S282" s="41" t="str">
        <f t="shared" si="13"/>
        <v/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2.75" customHeight="1" x14ac:dyDescent="0.2">
      <c r="A283" s="9">
        <v>18026</v>
      </c>
      <c r="B283" s="9" t="s">
        <v>13</v>
      </c>
      <c r="C283" s="9" t="s">
        <v>231</v>
      </c>
      <c r="D283" s="23"/>
      <c r="E283" s="42"/>
      <c r="F283" s="43"/>
      <c r="G283" s="42"/>
      <c r="H283" s="43"/>
      <c r="I283" s="25" t="s">
        <v>13</v>
      </c>
      <c r="J283" s="34" t="str">
        <f>IF(E283="","",raw_data!C275)</f>
        <v/>
      </c>
      <c r="K283" s="46"/>
      <c r="L283" s="87"/>
      <c r="M283" s="19" t="str">
        <f>IF(E283="","",raw_data!F275)</f>
        <v/>
      </c>
      <c r="N283" s="20" t="str">
        <f t="shared" si="14"/>
        <v/>
      </c>
      <c r="O283" s="90"/>
      <c r="P283" s="91"/>
      <c r="Q283" s="91"/>
      <c r="R283" s="91"/>
      <c r="S283" s="41" t="str">
        <f t="shared" si="13"/>
        <v/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2.75" customHeight="1" x14ac:dyDescent="0.2">
      <c r="A284" s="9">
        <v>18027</v>
      </c>
      <c r="B284" s="9" t="s">
        <v>13</v>
      </c>
      <c r="C284" s="9" t="s">
        <v>232</v>
      </c>
      <c r="D284" s="23"/>
      <c r="E284" s="42"/>
      <c r="F284" s="43"/>
      <c r="G284" s="42"/>
      <c r="H284" s="43"/>
      <c r="I284" s="25" t="s">
        <v>13</v>
      </c>
      <c r="J284" s="34" t="str">
        <f>IF(E284="","",raw_data!C276)</f>
        <v/>
      </c>
      <c r="K284" s="46"/>
      <c r="L284" s="87"/>
      <c r="M284" s="19" t="str">
        <f>IF(E284="","",raw_data!F276)</f>
        <v/>
      </c>
      <c r="N284" s="20" t="str">
        <f t="shared" si="14"/>
        <v/>
      </c>
      <c r="O284" s="90"/>
      <c r="P284" s="91"/>
      <c r="Q284" s="91"/>
      <c r="R284" s="91"/>
      <c r="S284" s="41" t="str">
        <f t="shared" si="13"/>
        <v/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2.75" customHeight="1" x14ac:dyDescent="0.2">
      <c r="A285" s="9">
        <v>18028</v>
      </c>
      <c r="B285" s="9" t="s">
        <v>13</v>
      </c>
      <c r="C285" s="9" t="s">
        <v>233</v>
      </c>
      <c r="D285" s="23"/>
      <c r="E285" s="42"/>
      <c r="F285" s="43"/>
      <c r="G285" s="42"/>
      <c r="H285" s="43"/>
      <c r="I285" s="25" t="s">
        <v>13</v>
      </c>
      <c r="J285" s="34" t="str">
        <f>IF(E285="","",raw_data!C277)</f>
        <v/>
      </c>
      <c r="K285" s="46"/>
      <c r="L285" s="87"/>
      <c r="M285" s="19" t="str">
        <f>IF(E285="","",raw_data!F277)</f>
        <v/>
      </c>
      <c r="N285" s="20" t="str">
        <f t="shared" si="14"/>
        <v/>
      </c>
      <c r="O285" s="90"/>
      <c r="P285" s="91"/>
      <c r="Q285" s="91"/>
      <c r="R285" s="91"/>
      <c r="S285" s="41" t="str">
        <f t="shared" si="13"/>
        <v/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2.75" customHeight="1" x14ac:dyDescent="0.2">
      <c r="A286" s="9">
        <v>18029</v>
      </c>
      <c r="B286" s="9" t="s">
        <v>13</v>
      </c>
      <c r="C286" s="9" t="s">
        <v>234</v>
      </c>
      <c r="D286" s="23"/>
      <c r="E286" s="42"/>
      <c r="F286" s="43"/>
      <c r="G286" s="42"/>
      <c r="H286" s="43"/>
      <c r="I286" s="25" t="s">
        <v>13</v>
      </c>
      <c r="J286" s="34" t="str">
        <f>IF(E286="","",raw_data!C278)</f>
        <v/>
      </c>
      <c r="K286" s="46"/>
      <c r="L286" s="87"/>
      <c r="M286" s="19" t="str">
        <f>IF(E286="","",raw_data!F278)</f>
        <v/>
      </c>
      <c r="N286" s="20" t="str">
        <f t="shared" si="14"/>
        <v/>
      </c>
      <c r="O286" s="90"/>
      <c r="P286" s="91"/>
      <c r="Q286" s="91"/>
      <c r="R286" s="91"/>
      <c r="S286" s="41" t="str">
        <f t="shared" si="13"/>
        <v/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2.75" customHeight="1" x14ac:dyDescent="0.2">
      <c r="A287" s="9">
        <v>18030</v>
      </c>
      <c r="B287" s="9" t="s">
        <v>13</v>
      </c>
      <c r="C287" s="9" t="s">
        <v>235</v>
      </c>
      <c r="D287" s="23"/>
      <c r="E287" s="42"/>
      <c r="F287" s="43"/>
      <c r="G287" s="42"/>
      <c r="H287" s="43"/>
      <c r="I287" s="25" t="s">
        <v>13</v>
      </c>
      <c r="J287" s="34" t="str">
        <f>IF(E287="","",raw_data!C279)</f>
        <v/>
      </c>
      <c r="K287" s="46"/>
      <c r="L287" s="87"/>
      <c r="M287" s="19" t="str">
        <f>IF(E287="","",raw_data!F279)</f>
        <v/>
      </c>
      <c r="N287" s="20" t="str">
        <f t="shared" si="14"/>
        <v/>
      </c>
      <c r="O287" s="90"/>
      <c r="P287" s="91"/>
      <c r="Q287" s="91"/>
      <c r="R287" s="91"/>
      <c r="S287" s="41" t="str">
        <f t="shared" si="13"/>
        <v/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2.75" customHeight="1" x14ac:dyDescent="0.2">
      <c r="A288" s="9">
        <v>18031</v>
      </c>
      <c r="B288" s="9" t="s">
        <v>13</v>
      </c>
      <c r="C288" s="9" t="s">
        <v>236</v>
      </c>
      <c r="D288" s="23"/>
      <c r="E288" s="42"/>
      <c r="F288" s="43"/>
      <c r="G288" s="42"/>
      <c r="H288" s="43"/>
      <c r="I288" s="25" t="s">
        <v>13</v>
      </c>
      <c r="J288" s="34" t="str">
        <f>IF(E288="","",raw_data!C280)</f>
        <v/>
      </c>
      <c r="K288" s="46"/>
      <c r="L288" s="87"/>
      <c r="M288" s="19" t="str">
        <f>IF(E288="","",raw_data!F280)</f>
        <v/>
      </c>
      <c r="N288" s="20" t="str">
        <f t="shared" si="14"/>
        <v/>
      </c>
      <c r="O288" s="90"/>
      <c r="P288" s="91"/>
      <c r="Q288" s="91"/>
      <c r="R288" s="91"/>
      <c r="S288" s="41" t="str">
        <f t="shared" si="13"/>
        <v/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2.75" customHeight="1" x14ac:dyDescent="0.2">
      <c r="A289" s="9">
        <v>18032</v>
      </c>
      <c r="B289" s="9" t="s">
        <v>13</v>
      </c>
      <c r="C289" s="9" t="s">
        <v>9</v>
      </c>
      <c r="D289" s="23"/>
      <c r="E289" s="42"/>
      <c r="F289" s="43"/>
      <c r="G289" s="42"/>
      <c r="H289" s="43"/>
      <c r="I289" s="25" t="s">
        <v>13</v>
      </c>
      <c r="J289" s="34" t="str">
        <f>IF(E289="","",raw_data!C281)</f>
        <v/>
      </c>
      <c r="K289" s="46"/>
      <c r="L289" s="87"/>
      <c r="M289" s="19" t="str">
        <f>IF(E289="","",raw_data!F281)</f>
        <v/>
      </c>
      <c r="N289" s="20" t="str">
        <f t="shared" si="14"/>
        <v/>
      </c>
      <c r="O289" s="90"/>
      <c r="P289" s="91"/>
      <c r="Q289" s="91"/>
      <c r="R289" s="91"/>
      <c r="S289" s="41" t="str">
        <f t="shared" si="13"/>
        <v/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2.75" customHeight="1" x14ac:dyDescent="0.2">
      <c r="A290" s="9">
        <v>18033</v>
      </c>
      <c r="B290" s="9" t="s">
        <v>13</v>
      </c>
      <c r="C290" s="9" t="s">
        <v>29</v>
      </c>
      <c r="D290" s="23"/>
      <c r="E290" s="42"/>
      <c r="F290" s="43"/>
      <c r="G290" s="42"/>
      <c r="H290" s="43"/>
      <c r="I290" s="25" t="s">
        <v>13</v>
      </c>
      <c r="J290" s="34" t="str">
        <f>IF(E290="","",raw_data!C282)</f>
        <v/>
      </c>
      <c r="K290" s="46"/>
      <c r="L290" s="87"/>
      <c r="M290" s="19" t="str">
        <f>IF(E290="","",raw_data!F282)</f>
        <v/>
      </c>
      <c r="N290" s="20" t="str">
        <f t="shared" si="14"/>
        <v/>
      </c>
      <c r="O290" s="90"/>
      <c r="P290" s="91"/>
      <c r="Q290" s="91"/>
      <c r="R290" s="91"/>
      <c r="S290" s="41" t="str">
        <f t="shared" si="13"/>
        <v/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2.75" customHeight="1" x14ac:dyDescent="0.2">
      <c r="A291" s="9">
        <v>18034</v>
      </c>
      <c r="B291" s="9" t="s">
        <v>13</v>
      </c>
      <c r="C291" s="9" t="s">
        <v>337</v>
      </c>
      <c r="D291" s="23"/>
      <c r="E291" s="42"/>
      <c r="F291" s="43"/>
      <c r="G291" s="42"/>
      <c r="H291" s="43"/>
      <c r="I291" s="25" t="s">
        <v>13</v>
      </c>
      <c r="J291" s="34" t="str">
        <f>IF(E291="","",raw_data!C283)</f>
        <v/>
      </c>
      <c r="K291" s="46"/>
      <c r="L291" s="87"/>
      <c r="M291" s="19" t="str">
        <f>IF(E291="","",raw_data!F283)</f>
        <v/>
      </c>
      <c r="N291" s="20" t="str">
        <f t="shared" si="14"/>
        <v/>
      </c>
      <c r="O291" s="90"/>
      <c r="P291" s="91"/>
      <c r="Q291" s="91"/>
      <c r="R291" s="91"/>
      <c r="S291" s="41" t="str">
        <f t="shared" si="13"/>
        <v/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2.75" customHeight="1" x14ac:dyDescent="0.2">
      <c r="A292" s="9">
        <v>18035</v>
      </c>
      <c r="B292" s="9" t="s">
        <v>13</v>
      </c>
      <c r="C292" s="9" t="s">
        <v>338</v>
      </c>
      <c r="D292" s="23"/>
      <c r="E292" s="42"/>
      <c r="F292" s="43"/>
      <c r="G292" s="42"/>
      <c r="H292" s="43"/>
      <c r="I292" s="25" t="s">
        <v>13</v>
      </c>
      <c r="J292" s="34" t="str">
        <f>IF(E292="","",raw_data!C284)</f>
        <v/>
      </c>
      <c r="K292" s="46"/>
      <c r="L292" s="87"/>
      <c r="M292" s="19" t="str">
        <f>IF(E292="","",raw_data!F284)</f>
        <v/>
      </c>
      <c r="N292" s="20" t="str">
        <f t="shared" si="14"/>
        <v/>
      </c>
      <c r="O292" s="90"/>
      <c r="P292" s="91"/>
      <c r="Q292" s="91"/>
      <c r="R292" s="91"/>
      <c r="S292" s="41" t="str">
        <f t="shared" si="13"/>
        <v/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2.75" customHeight="1" x14ac:dyDescent="0.2">
      <c r="A293" s="9">
        <v>18036</v>
      </c>
      <c r="B293" s="9" t="s">
        <v>13</v>
      </c>
      <c r="C293" s="9" t="s">
        <v>339</v>
      </c>
      <c r="D293" s="23"/>
      <c r="E293" s="42"/>
      <c r="F293" s="43"/>
      <c r="G293" s="42"/>
      <c r="H293" s="43"/>
      <c r="I293" s="25" t="s">
        <v>13</v>
      </c>
      <c r="J293" s="34" t="str">
        <f>IF(E293="","",raw_data!C285)</f>
        <v/>
      </c>
      <c r="K293" s="46"/>
      <c r="L293" s="87"/>
      <c r="M293" s="19" t="str">
        <f>IF(E293="","",raw_data!F285)</f>
        <v/>
      </c>
      <c r="N293" s="20" t="str">
        <f t="shared" si="14"/>
        <v/>
      </c>
      <c r="O293" s="90"/>
      <c r="P293" s="91"/>
      <c r="Q293" s="91"/>
      <c r="R293" s="91"/>
      <c r="S293" s="41" t="str">
        <f t="shared" si="13"/>
        <v/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2.75" customHeight="1" x14ac:dyDescent="0.2">
      <c r="A294" s="9">
        <v>18037</v>
      </c>
      <c r="B294" s="9" t="s">
        <v>13</v>
      </c>
      <c r="C294" s="9" t="s">
        <v>340</v>
      </c>
      <c r="D294" s="23"/>
      <c r="E294" s="42"/>
      <c r="F294" s="43"/>
      <c r="G294" s="42"/>
      <c r="H294" s="43"/>
      <c r="I294" s="25" t="s">
        <v>13</v>
      </c>
      <c r="J294" s="34" t="str">
        <f>IF(E294="","",raw_data!C286)</f>
        <v/>
      </c>
      <c r="K294" s="46"/>
      <c r="L294" s="87"/>
      <c r="M294" s="19" t="str">
        <f>IF(E294="","",raw_data!F286)</f>
        <v/>
      </c>
      <c r="N294" s="20" t="str">
        <f t="shared" si="14"/>
        <v/>
      </c>
      <c r="O294" s="90"/>
      <c r="P294" s="91"/>
      <c r="Q294" s="91"/>
      <c r="R294" s="91"/>
      <c r="S294" s="41" t="str">
        <f t="shared" si="13"/>
        <v/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2.75" customHeight="1" x14ac:dyDescent="0.2">
      <c r="A295" s="9">
        <v>18038</v>
      </c>
      <c r="B295" s="9" t="s">
        <v>13</v>
      </c>
      <c r="C295" s="9" t="s">
        <v>341</v>
      </c>
      <c r="D295" s="23"/>
      <c r="E295" s="42"/>
      <c r="F295" s="43"/>
      <c r="G295" s="42"/>
      <c r="H295" s="43"/>
      <c r="I295" s="25" t="s">
        <v>13</v>
      </c>
      <c r="J295" s="34" t="str">
        <f>IF(E295="","",raw_data!C287)</f>
        <v/>
      </c>
      <c r="K295" s="46"/>
      <c r="L295" s="87"/>
      <c r="M295" s="19" t="str">
        <f>IF(E295="","",raw_data!F287)</f>
        <v/>
      </c>
      <c r="N295" s="20" t="str">
        <f t="shared" si="14"/>
        <v/>
      </c>
      <c r="O295" s="90"/>
      <c r="P295" s="91"/>
      <c r="Q295" s="91"/>
      <c r="R295" s="91"/>
      <c r="S295" s="41" t="str">
        <f t="shared" si="13"/>
        <v/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2.75" customHeight="1" x14ac:dyDescent="0.2">
      <c r="A296" s="9">
        <v>18039</v>
      </c>
      <c r="B296" s="9" t="s">
        <v>13</v>
      </c>
      <c r="C296" s="9" t="s">
        <v>342</v>
      </c>
      <c r="D296" s="23"/>
      <c r="E296" s="42"/>
      <c r="F296" s="43"/>
      <c r="G296" s="42"/>
      <c r="H296" s="43"/>
      <c r="I296" s="25" t="s">
        <v>13</v>
      </c>
      <c r="J296" s="34" t="str">
        <f>IF(E296="","",raw_data!C288)</f>
        <v/>
      </c>
      <c r="K296" s="46"/>
      <c r="L296" s="87"/>
      <c r="M296" s="19" t="str">
        <f>IF(E296="","",raw_data!F288)</f>
        <v/>
      </c>
      <c r="N296" s="20" t="str">
        <f t="shared" si="14"/>
        <v/>
      </c>
      <c r="O296" s="90"/>
      <c r="P296" s="91"/>
      <c r="Q296" s="91"/>
      <c r="R296" s="91"/>
      <c r="S296" s="41" t="str">
        <f t="shared" si="13"/>
        <v/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2.75" customHeight="1" x14ac:dyDescent="0.2">
      <c r="A297" s="9">
        <v>18040</v>
      </c>
      <c r="B297" s="9" t="s">
        <v>13</v>
      </c>
      <c r="C297" s="9" t="s">
        <v>343</v>
      </c>
      <c r="D297" s="23"/>
      <c r="E297" s="42"/>
      <c r="F297" s="43"/>
      <c r="G297" s="42"/>
      <c r="H297" s="43"/>
      <c r="I297" s="25" t="s">
        <v>13</v>
      </c>
      <c r="J297" s="34" t="str">
        <f>IF(E297="","",raw_data!C289)</f>
        <v/>
      </c>
      <c r="K297" s="46"/>
      <c r="L297" s="87"/>
      <c r="M297" s="19" t="str">
        <f>IF(E297="","",raw_data!F289)</f>
        <v/>
      </c>
      <c r="N297" s="20" t="str">
        <f t="shared" si="14"/>
        <v/>
      </c>
      <c r="O297" s="90"/>
      <c r="P297" s="91"/>
      <c r="Q297" s="91"/>
      <c r="R297" s="91"/>
      <c r="S297" s="41" t="str">
        <f t="shared" si="13"/>
        <v/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2.75" customHeight="1" x14ac:dyDescent="0.2">
      <c r="A298" s="9">
        <v>18041</v>
      </c>
      <c r="B298" s="9" t="s">
        <v>13</v>
      </c>
      <c r="C298" s="9" t="s">
        <v>344</v>
      </c>
      <c r="D298" s="23"/>
      <c r="E298" s="42"/>
      <c r="F298" s="43"/>
      <c r="G298" s="42"/>
      <c r="H298" s="43"/>
      <c r="I298" s="25" t="s">
        <v>13</v>
      </c>
      <c r="J298" s="34" t="str">
        <f>IF(E298="","",raw_data!C290)</f>
        <v/>
      </c>
      <c r="K298" s="46"/>
      <c r="L298" s="87"/>
      <c r="M298" s="19" t="str">
        <f>IF(E298="","",raw_data!F290)</f>
        <v/>
      </c>
      <c r="N298" s="20" t="str">
        <f t="shared" si="14"/>
        <v/>
      </c>
      <c r="O298" s="90"/>
      <c r="P298" s="91"/>
      <c r="Q298" s="91"/>
      <c r="R298" s="91"/>
      <c r="S298" s="41" t="str">
        <f t="shared" si="13"/>
        <v/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2.75" customHeight="1" x14ac:dyDescent="0.2">
      <c r="A299" s="9">
        <v>18042</v>
      </c>
      <c r="B299" s="9" t="s">
        <v>13</v>
      </c>
      <c r="C299" s="9" t="s">
        <v>345</v>
      </c>
      <c r="D299" s="23"/>
      <c r="E299" s="42"/>
      <c r="F299" s="43"/>
      <c r="G299" s="42"/>
      <c r="H299" s="43"/>
      <c r="I299" s="25" t="s">
        <v>13</v>
      </c>
      <c r="J299" s="34" t="str">
        <f>IF(E299="","",raw_data!C291)</f>
        <v/>
      </c>
      <c r="K299" s="46"/>
      <c r="L299" s="87"/>
      <c r="M299" s="19" t="str">
        <f>IF(E299="","",raw_data!F291)</f>
        <v/>
      </c>
      <c r="N299" s="20" t="str">
        <f t="shared" si="14"/>
        <v/>
      </c>
      <c r="O299" s="90"/>
      <c r="P299" s="91"/>
      <c r="Q299" s="91"/>
      <c r="R299" s="91"/>
      <c r="S299" s="41" t="str">
        <f t="shared" si="13"/>
        <v/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2.75" customHeight="1" x14ac:dyDescent="0.2">
      <c r="A300" s="9">
        <v>18043</v>
      </c>
      <c r="B300" s="9" t="s">
        <v>13</v>
      </c>
      <c r="C300" s="9" t="s">
        <v>237</v>
      </c>
      <c r="D300" s="23"/>
      <c r="E300" s="42"/>
      <c r="F300" s="43"/>
      <c r="G300" s="42"/>
      <c r="H300" s="43"/>
      <c r="I300" s="25" t="s">
        <v>13</v>
      </c>
      <c r="J300" s="34" t="str">
        <f>IF(E300="","",raw_data!C292)</f>
        <v/>
      </c>
      <c r="K300" s="46"/>
      <c r="L300" s="87"/>
      <c r="M300" s="19" t="str">
        <f>IF(E300="","",raw_data!F292)</f>
        <v/>
      </c>
      <c r="N300" s="20" t="str">
        <f t="shared" si="14"/>
        <v/>
      </c>
      <c r="O300" s="90"/>
      <c r="P300" s="91"/>
      <c r="Q300" s="91"/>
      <c r="R300" s="91"/>
      <c r="S300" s="41" t="str">
        <f t="shared" si="13"/>
        <v/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2.75" customHeight="1" x14ac:dyDescent="0.2">
      <c r="A301" s="9">
        <v>18044</v>
      </c>
      <c r="B301" s="9" t="s">
        <v>13</v>
      </c>
      <c r="C301" s="9" t="s">
        <v>238</v>
      </c>
      <c r="D301" s="23"/>
      <c r="E301" s="42"/>
      <c r="F301" s="43"/>
      <c r="G301" s="42"/>
      <c r="H301" s="43"/>
      <c r="I301" s="25" t="s">
        <v>13</v>
      </c>
      <c r="J301" s="34" t="str">
        <f>IF(E301="","",raw_data!C293)</f>
        <v/>
      </c>
      <c r="K301" s="46"/>
      <c r="L301" s="87"/>
      <c r="M301" s="19" t="str">
        <f>IF(E301="","",raw_data!F293)</f>
        <v/>
      </c>
      <c r="N301" s="20" t="str">
        <f t="shared" si="14"/>
        <v/>
      </c>
      <c r="O301" s="90"/>
      <c r="P301" s="91"/>
      <c r="Q301" s="91"/>
      <c r="R301" s="91"/>
      <c r="S301" s="41" t="str">
        <f t="shared" si="13"/>
        <v/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2.75" customHeight="1" x14ac:dyDescent="0.2">
      <c r="A302" s="9">
        <v>18045</v>
      </c>
      <c r="B302" s="9" t="s">
        <v>13</v>
      </c>
      <c r="C302" s="9" t="s">
        <v>239</v>
      </c>
      <c r="D302" s="23"/>
      <c r="E302" s="42"/>
      <c r="F302" s="43"/>
      <c r="G302" s="42"/>
      <c r="H302" s="43"/>
      <c r="I302" s="25" t="s">
        <v>13</v>
      </c>
      <c r="J302" s="34" t="str">
        <f>IF(E302="","",raw_data!C294)</f>
        <v/>
      </c>
      <c r="K302" s="46"/>
      <c r="L302" s="87"/>
      <c r="M302" s="19" t="str">
        <f>IF(E302="","",raw_data!F294)</f>
        <v/>
      </c>
      <c r="N302" s="20" t="str">
        <f t="shared" si="14"/>
        <v/>
      </c>
      <c r="O302" s="90"/>
      <c r="P302" s="91"/>
      <c r="Q302" s="91"/>
      <c r="R302" s="91"/>
      <c r="S302" s="41" t="str">
        <f t="shared" si="13"/>
        <v/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2.75" customHeight="1" x14ac:dyDescent="0.2">
      <c r="A303" s="9">
        <v>19001</v>
      </c>
      <c r="B303" s="9" t="s">
        <v>158</v>
      </c>
      <c r="C303" s="9" t="s">
        <v>77</v>
      </c>
      <c r="D303" s="23"/>
      <c r="E303" s="42"/>
      <c r="F303" s="43"/>
      <c r="G303" s="42"/>
      <c r="H303" s="43"/>
      <c r="I303" s="25" t="s">
        <v>15</v>
      </c>
      <c r="J303" s="34" t="str">
        <f>IF(E303="","",raw_data!C295)</f>
        <v/>
      </c>
      <c r="K303" s="46"/>
      <c r="L303" s="87"/>
      <c r="M303" s="19" t="str">
        <f>IF(E303="","",raw_data!F295)</f>
        <v/>
      </c>
      <c r="N303" s="20" t="str">
        <f t="shared" si="14"/>
        <v/>
      </c>
      <c r="O303" s="90"/>
      <c r="P303" s="91"/>
      <c r="Q303" s="91"/>
      <c r="R303" s="91"/>
      <c r="S303" s="41" t="str">
        <f t="shared" si="13"/>
        <v/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2.75" customHeight="1" x14ac:dyDescent="0.2">
      <c r="A304" s="9">
        <v>19002</v>
      </c>
      <c r="B304" s="9" t="s">
        <v>158</v>
      </c>
      <c r="C304" s="9" t="s">
        <v>19</v>
      </c>
      <c r="D304" s="23"/>
      <c r="E304" s="42"/>
      <c r="F304" s="43"/>
      <c r="G304" s="42"/>
      <c r="H304" s="43"/>
      <c r="I304" s="25" t="s">
        <v>15</v>
      </c>
      <c r="J304" s="34" t="str">
        <f>IF(E304="","",raw_data!C296)</f>
        <v/>
      </c>
      <c r="K304" s="46"/>
      <c r="L304" s="87"/>
      <c r="M304" s="19" t="str">
        <f>IF(E304="","",raw_data!F296)</f>
        <v/>
      </c>
      <c r="N304" s="20" t="str">
        <f t="shared" si="14"/>
        <v/>
      </c>
      <c r="O304" s="90"/>
      <c r="P304" s="91"/>
      <c r="Q304" s="91"/>
      <c r="R304" s="91"/>
      <c r="S304" s="41" t="str">
        <f t="shared" si="13"/>
        <v/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2.75" customHeight="1" x14ac:dyDescent="0.2">
      <c r="A305" s="9">
        <v>19003</v>
      </c>
      <c r="B305" s="9" t="s">
        <v>158</v>
      </c>
      <c r="C305" s="9" t="s">
        <v>240</v>
      </c>
      <c r="D305" s="23"/>
      <c r="E305" s="42"/>
      <c r="F305" s="43"/>
      <c r="G305" s="42"/>
      <c r="H305" s="43"/>
      <c r="I305" s="25" t="s">
        <v>15</v>
      </c>
      <c r="J305" s="34" t="str">
        <f>IF(E305="","",raw_data!C297)</f>
        <v/>
      </c>
      <c r="K305" s="46"/>
      <c r="L305" s="87"/>
      <c r="M305" s="19" t="str">
        <f>IF(E305="","",raw_data!F297)</f>
        <v/>
      </c>
      <c r="N305" s="20" t="str">
        <f t="shared" si="14"/>
        <v/>
      </c>
      <c r="O305" s="90"/>
      <c r="P305" s="91"/>
      <c r="Q305" s="91"/>
      <c r="R305" s="91"/>
      <c r="S305" s="41" t="str">
        <f t="shared" si="13"/>
        <v/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2.75" customHeight="1" x14ac:dyDescent="0.2">
      <c r="A306" s="9">
        <v>19004</v>
      </c>
      <c r="B306" s="9" t="s">
        <v>158</v>
      </c>
      <c r="C306" s="9" t="s">
        <v>160</v>
      </c>
      <c r="D306" s="23"/>
      <c r="E306" s="42"/>
      <c r="F306" s="43"/>
      <c r="G306" s="42"/>
      <c r="H306" s="43"/>
      <c r="I306" s="25" t="s">
        <v>15</v>
      </c>
      <c r="J306" s="34" t="str">
        <f>IF(E306="","",raw_data!C298)</f>
        <v/>
      </c>
      <c r="K306" s="46"/>
      <c r="L306" s="87"/>
      <c r="M306" s="19" t="str">
        <f>IF(E306="","",raw_data!F298)</f>
        <v/>
      </c>
      <c r="N306" s="20" t="str">
        <f t="shared" si="14"/>
        <v/>
      </c>
      <c r="O306" s="90"/>
      <c r="P306" s="91"/>
      <c r="Q306" s="91"/>
      <c r="R306" s="91"/>
      <c r="S306" s="41" t="str">
        <f t="shared" si="13"/>
        <v/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2.75" customHeight="1" x14ac:dyDescent="0.2">
      <c r="A307" s="9">
        <v>19005</v>
      </c>
      <c r="B307" s="9" t="s">
        <v>158</v>
      </c>
      <c r="C307" s="9" t="s">
        <v>161</v>
      </c>
      <c r="D307" s="23"/>
      <c r="E307" s="42"/>
      <c r="F307" s="43"/>
      <c r="G307" s="42"/>
      <c r="H307" s="43"/>
      <c r="I307" s="25" t="s">
        <v>15</v>
      </c>
      <c r="J307" s="34" t="str">
        <f>IF(E307="","",raw_data!C299)</f>
        <v/>
      </c>
      <c r="K307" s="46"/>
      <c r="L307" s="87"/>
      <c r="M307" s="19" t="str">
        <f>IF(E307="","",raw_data!F299)</f>
        <v/>
      </c>
      <c r="N307" s="20" t="str">
        <f t="shared" si="14"/>
        <v/>
      </c>
      <c r="O307" s="90"/>
      <c r="P307" s="91"/>
      <c r="Q307" s="91"/>
      <c r="R307" s="91"/>
      <c r="S307" s="41" t="str">
        <f t="shared" si="13"/>
        <v/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2.75" customHeight="1" x14ac:dyDescent="0.2">
      <c r="A308" s="9">
        <v>19006</v>
      </c>
      <c r="B308" s="9" t="s">
        <v>158</v>
      </c>
      <c r="C308" s="9" t="s">
        <v>346</v>
      </c>
      <c r="D308" s="23"/>
      <c r="E308" s="42"/>
      <c r="F308" s="43"/>
      <c r="G308" s="42"/>
      <c r="H308" s="43"/>
      <c r="I308" s="25" t="s">
        <v>15</v>
      </c>
      <c r="J308" s="34" t="str">
        <f>IF(E308="","",raw_data!C300)</f>
        <v/>
      </c>
      <c r="K308" s="46"/>
      <c r="L308" s="87"/>
      <c r="M308" s="19" t="str">
        <f>IF(E308="","",raw_data!F300)</f>
        <v/>
      </c>
      <c r="N308" s="20" t="str">
        <f t="shared" si="14"/>
        <v/>
      </c>
      <c r="O308" s="90"/>
      <c r="P308" s="91"/>
      <c r="Q308" s="91"/>
      <c r="R308" s="91"/>
      <c r="S308" s="41" t="str">
        <f t="shared" si="13"/>
        <v/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2.75" customHeight="1" x14ac:dyDescent="0.2">
      <c r="A309" s="9">
        <v>19007</v>
      </c>
      <c r="B309" s="9" t="s">
        <v>158</v>
      </c>
      <c r="C309" s="9" t="s">
        <v>347</v>
      </c>
      <c r="D309" s="23"/>
      <c r="E309" s="42"/>
      <c r="F309" s="43"/>
      <c r="G309" s="42"/>
      <c r="H309" s="43"/>
      <c r="I309" s="25" t="s">
        <v>15</v>
      </c>
      <c r="J309" s="34" t="str">
        <f>IF(E309="","",raw_data!C301)</f>
        <v/>
      </c>
      <c r="K309" s="46"/>
      <c r="L309" s="87"/>
      <c r="M309" s="19" t="str">
        <f>IF(E309="","",raw_data!F301)</f>
        <v/>
      </c>
      <c r="N309" s="20" t="str">
        <f t="shared" si="14"/>
        <v/>
      </c>
      <c r="O309" s="90"/>
      <c r="P309" s="91"/>
      <c r="Q309" s="91"/>
      <c r="R309" s="91"/>
      <c r="S309" s="41" t="str">
        <f t="shared" si="13"/>
        <v/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2.75" customHeight="1" x14ac:dyDescent="0.2">
      <c r="A310" s="9">
        <v>19008</v>
      </c>
      <c r="B310" s="9" t="s">
        <v>158</v>
      </c>
      <c r="C310" s="9" t="s">
        <v>348</v>
      </c>
      <c r="D310" s="23"/>
      <c r="E310" s="42"/>
      <c r="F310" s="43"/>
      <c r="G310" s="42"/>
      <c r="H310" s="43"/>
      <c r="I310" s="25" t="s">
        <v>15</v>
      </c>
      <c r="J310" s="34" t="str">
        <f>IF(E310="","",raw_data!C302)</f>
        <v/>
      </c>
      <c r="K310" s="46"/>
      <c r="L310" s="87"/>
      <c r="M310" s="19" t="str">
        <f>IF(E310="","",raw_data!F302)</f>
        <v/>
      </c>
      <c r="N310" s="20" t="str">
        <f t="shared" si="14"/>
        <v/>
      </c>
      <c r="O310" s="90"/>
      <c r="P310" s="91"/>
      <c r="Q310" s="91"/>
      <c r="R310" s="91"/>
      <c r="S310" s="41" t="str">
        <f t="shared" si="13"/>
        <v/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2.75" customHeight="1" x14ac:dyDescent="0.2">
      <c r="A311" s="9">
        <v>19009</v>
      </c>
      <c r="B311" s="9" t="s">
        <v>158</v>
      </c>
      <c r="C311" s="9" t="s">
        <v>349</v>
      </c>
      <c r="D311" s="23"/>
      <c r="E311" s="42"/>
      <c r="F311" s="43"/>
      <c r="G311" s="42"/>
      <c r="H311" s="43"/>
      <c r="I311" s="25" t="s">
        <v>15</v>
      </c>
      <c r="J311" s="34" t="str">
        <f>IF(E311="","",raw_data!C303)</f>
        <v/>
      </c>
      <c r="K311" s="46"/>
      <c r="L311" s="87"/>
      <c r="M311" s="19" t="str">
        <f>IF(E311="","",raw_data!F303)</f>
        <v/>
      </c>
      <c r="N311" s="20" t="str">
        <f t="shared" si="14"/>
        <v/>
      </c>
      <c r="O311" s="90"/>
      <c r="P311" s="91"/>
      <c r="Q311" s="91"/>
      <c r="R311" s="91"/>
      <c r="S311" s="41" t="str">
        <f t="shared" si="13"/>
        <v/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2.75" customHeight="1" x14ac:dyDescent="0.2">
      <c r="A312" s="9">
        <v>19010</v>
      </c>
      <c r="B312" s="9" t="s">
        <v>158</v>
      </c>
      <c r="C312" s="9" t="s">
        <v>350</v>
      </c>
      <c r="D312" s="23"/>
      <c r="E312" s="42"/>
      <c r="F312" s="43"/>
      <c r="G312" s="42"/>
      <c r="H312" s="43"/>
      <c r="I312" s="25" t="s">
        <v>15</v>
      </c>
      <c r="J312" s="34" t="str">
        <f>IF(E312="","",raw_data!C304)</f>
        <v/>
      </c>
      <c r="K312" s="46"/>
      <c r="L312" s="87"/>
      <c r="M312" s="19" t="str">
        <f>IF(E312="","",raw_data!F304)</f>
        <v/>
      </c>
      <c r="N312" s="20" t="str">
        <f t="shared" si="14"/>
        <v/>
      </c>
      <c r="O312" s="90"/>
      <c r="P312" s="91"/>
      <c r="Q312" s="91"/>
      <c r="R312" s="91"/>
      <c r="S312" s="41" t="str">
        <f t="shared" si="13"/>
        <v/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2.75" customHeight="1" x14ac:dyDescent="0.2">
      <c r="A313" s="9">
        <v>19011</v>
      </c>
      <c r="B313" s="9" t="s">
        <v>158</v>
      </c>
      <c r="C313" s="9" t="s">
        <v>351</v>
      </c>
      <c r="D313" s="23"/>
      <c r="E313" s="42"/>
      <c r="F313" s="43"/>
      <c r="G313" s="42"/>
      <c r="H313" s="43"/>
      <c r="I313" s="25" t="s">
        <v>15</v>
      </c>
      <c r="J313" s="34" t="str">
        <f>IF(E313="","",raw_data!C305)</f>
        <v/>
      </c>
      <c r="K313" s="46"/>
      <c r="L313" s="87"/>
      <c r="M313" s="19" t="str">
        <f>IF(E313="","",raw_data!F305)</f>
        <v/>
      </c>
      <c r="N313" s="20" t="str">
        <f t="shared" si="14"/>
        <v/>
      </c>
      <c r="O313" s="90"/>
      <c r="P313" s="91"/>
      <c r="Q313" s="91"/>
      <c r="R313" s="91"/>
      <c r="S313" s="41" t="str">
        <f t="shared" si="13"/>
        <v/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2.75" customHeight="1" x14ac:dyDescent="0.2">
      <c r="A314" s="9">
        <v>19012</v>
      </c>
      <c r="B314" s="9" t="s">
        <v>158</v>
      </c>
      <c r="C314" s="9" t="s">
        <v>352</v>
      </c>
      <c r="D314" s="23"/>
      <c r="E314" s="42"/>
      <c r="F314" s="43"/>
      <c r="G314" s="42"/>
      <c r="H314" s="43"/>
      <c r="I314" s="25" t="s">
        <v>15</v>
      </c>
      <c r="J314" s="34" t="str">
        <f>IF(E314="","",raw_data!C306)</f>
        <v/>
      </c>
      <c r="K314" s="46"/>
      <c r="L314" s="87"/>
      <c r="M314" s="19" t="str">
        <f>IF(E314="","",raw_data!F306)</f>
        <v/>
      </c>
      <c r="N314" s="20" t="str">
        <f t="shared" si="14"/>
        <v/>
      </c>
      <c r="O314" s="90"/>
      <c r="P314" s="91"/>
      <c r="Q314" s="91"/>
      <c r="R314" s="91"/>
      <c r="S314" s="41" t="str">
        <f t="shared" si="13"/>
        <v/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2.75" customHeight="1" x14ac:dyDescent="0.2">
      <c r="A315" s="9">
        <v>19013</v>
      </c>
      <c r="B315" s="9" t="s">
        <v>158</v>
      </c>
      <c r="C315" s="9" t="s">
        <v>353</v>
      </c>
      <c r="D315" s="23"/>
      <c r="E315" s="42"/>
      <c r="F315" s="43"/>
      <c r="G315" s="42"/>
      <c r="H315" s="43"/>
      <c r="I315" s="25" t="s">
        <v>15</v>
      </c>
      <c r="J315" s="34" t="str">
        <f>IF(E315="","",raw_data!C307)</f>
        <v/>
      </c>
      <c r="K315" s="46"/>
      <c r="L315" s="87"/>
      <c r="M315" s="19" t="str">
        <f>IF(E315="","",raw_data!F307)</f>
        <v/>
      </c>
      <c r="N315" s="20" t="str">
        <f t="shared" si="14"/>
        <v/>
      </c>
      <c r="O315" s="90"/>
      <c r="P315" s="91"/>
      <c r="Q315" s="91"/>
      <c r="R315" s="91"/>
      <c r="S315" s="41" t="str">
        <f t="shared" si="13"/>
        <v/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2.75" customHeight="1" x14ac:dyDescent="0.2">
      <c r="A316" s="9">
        <v>19014</v>
      </c>
      <c r="B316" s="9" t="s">
        <v>158</v>
      </c>
      <c r="C316" s="9" t="s">
        <v>354</v>
      </c>
      <c r="D316" s="23"/>
      <c r="E316" s="42"/>
      <c r="F316" s="43"/>
      <c r="G316" s="42"/>
      <c r="H316" s="43"/>
      <c r="I316" s="25" t="s">
        <v>15</v>
      </c>
      <c r="J316" s="34" t="str">
        <f>IF(E316="","",raw_data!C308)</f>
        <v/>
      </c>
      <c r="K316" s="46"/>
      <c r="L316" s="87"/>
      <c r="M316" s="19" t="str">
        <f>IF(E316="","",raw_data!F308)</f>
        <v/>
      </c>
      <c r="N316" s="20" t="str">
        <f t="shared" si="14"/>
        <v/>
      </c>
      <c r="O316" s="90"/>
      <c r="P316" s="91"/>
      <c r="Q316" s="91"/>
      <c r="R316" s="91"/>
      <c r="S316" s="41" t="str">
        <f t="shared" si="13"/>
        <v/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2.75" customHeight="1" x14ac:dyDescent="0.2">
      <c r="A317" s="9">
        <v>19015</v>
      </c>
      <c r="B317" s="9" t="s">
        <v>158</v>
      </c>
      <c r="C317" s="9" t="s">
        <v>78</v>
      </c>
      <c r="D317" s="23"/>
      <c r="E317" s="42"/>
      <c r="F317" s="43"/>
      <c r="G317" s="42"/>
      <c r="H317" s="43"/>
      <c r="I317" s="25" t="s">
        <v>15</v>
      </c>
      <c r="J317" s="34" t="str">
        <f>IF(E317="","",raw_data!C309)</f>
        <v/>
      </c>
      <c r="K317" s="46"/>
      <c r="L317" s="87"/>
      <c r="M317" s="19" t="str">
        <f>IF(E317="","",raw_data!F309)</f>
        <v/>
      </c>
      <c r="N317" s="20" t="str">
        <f t="shared" si="14"/>
        <v/>
      </c>
      <c r="O317" s="90"/>
      <c r="P317" s="91"/>
      <c r="Q317" s="91"/>
      <c r="R317" s="91"/>
      <c r="S317" s="41" t="str">
        <f t="shared" si="13"/>
        <v/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2.75" customHeight="1" x14ac:dyDescent="0.2">
      <c r="A318" s="9">
        <v>19016</v>
      </c>
      <c r="B318" s="9" t="s">
        <v>158</v>
      </c>
      <c r="C318" s="9" t="s">
        <v>162</v>
      </c>
      <c r="D318" s="23"/>
      <c r="E318" s="42"/>
      <c r="F318" s="43"/>
      <c r="G318" s="42"/>
      <c r="H318" s="43"/>
      <c r="I318" s="25" t="s">
        <v>15</v>
      </c>
      <c r="J318" s="34" t="str">
        <f>IF(E318="","",raw_data!C310)</f>
        <v/>
      </c>
      <c r="K318" s="46"/>
      <c r="L318" s="87"/>
      <c r="M318" s="19" t="str">
        <f>IF(E318="","",raw_data!F310)</f>
        <v/>
      </c>
      <c r="N318" s="20" t="str">
        <f t="shared" si="14"/>
        <v/>
      </c>
      <c r="O318" s="90"/>
      <c r="P318" s="91"/>
      <c r="Q318" s="91"/>
      <c r="R318" s="91"/>
      <c r="S318" s="41" t="str">
        <f t="shared" si="13"/>
        <v/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2.75" customHeight="1" x14ac:dyDescent="0.2">
      <c r="A319" s="9">
        <v>19017</v>
      </c>
      <c r="B319" s="9" t="s">
        <v>158</v>
      </c>
      <c r="C319" s="9" t="s">
        <v>355</v>
      </c>
      <c r="D319" s="23"/>
      <c r="E319" s="42"/>
      <c r="F319" s="43"/>
      <c r="G319" s="42"/>
      <c r="H319" s="43"/>
      <c r="I319" s="25" t="s">
        <v>15</v>
      </c>
      <c r="J319" s="34" t="str">
        <f>IF(E319="","",raw_data!C311)</f>
        <v/>
      </c>
      <c r="K319" s="46"/>
      <c r="L319" s="87"/>
      <c r="M319" s="19" t="str">
        <f>IF(E319="","",raw_data!F311)</f>
        <v/>
      </c>
      <c r="N319" s="20" t="str">
        <f t="shared" si="14"/>
        <v/>
      </c>
      <c r="O319" s="90"/>
      <c r="P319" s="91"/>
      <c r="Q319" s="91"/>
      <c r="R319" s="91"/>
      <c r="S319" s="41" t="str">
        <f t="shared" si="13"/>
        <v/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2.75" customHeight="1" x14ac:dyDescent="0.2">
      <c r="A320" s="9">
        <v>19018</v>
      </c>
      <c r="B320" s="9" t="s">
        <v>158</v>
      </c>
      <c r="C320" s="9" t="s">
        <v>356</v>
      </c>
      <c r="D320" s="23"/>
      <c r="E320" s="42"/>
      <c r="F320" s="43"/>
      <c r="G320" s="42"/>
      <c r="H320" s="43"/>
      <c r="I320" s="25" t="s">
        <v>15</v>
      </c>
      <c r="J320" s="34" t="str">
        <f>IF(E320="","",raw_data!C312)</f>
        <v/>
      </c>
      <c r="K320" s="46"/>
      <c r="L320" s="87"/>
      <c r="M320" s="19" t="str">
        <f>IF(E320="","",raw_data!F312)</f>
        <v/>
      </c>
      <c r="N320" s="20" t="str">
        <f t="shared" si="14"/>
        <v/>
      </c>
      <c r="O320" s="90"/>
      <c r="P320" s="91"/>
      <c r="Q320" s="91"/>
      <c r="R320" s="91"/>
      <c r="S320" s="41" t="str">
        <f t="shared" si="13"/>
        <v/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2.75" customHeight="1" x14ac:dyDescent="0.2">
      <c r="A321" s="9">
        <v>19019</v>
      </c>
      <c r="B321" s="9" t="s">
        <v>158</v>
      </c>
      <c r="C321" s="9" t="s">
        <v>357</v>
      </c>
      <c r="D321" s="23"/>
      <c r="E321" s="42"/>
      <c r="F321" s="43"/>
      <c r="G321" s="42"/>
      <c r="H321" s="43"/>
      <c r="I321" s="25" t="s">
        <v>15</v>
      </c>
      <c r="J321" s="34" t="str">
        <f>IF(E321="","",raw_data!C313)</f>
        <v/>
      </c>
      <c r="K321" s="46"/>
      <c r="L321" s="87"/>
      <c r="M321" s="19" t="str">
        <f>IF(E321="","",raw_data!F313)</f>
        <v/>
      </c>
      <c r="N321" s="20" t="str">
        <f t="shared" si="14"/>
        <v/>
      </c>
      <c r="O321" s="90"/>
      <c r="P321" s="91"/>
      <c r="Q321" s="91"/>
      <c r="R321" s="91"/>
      <c r="S321" s="41" t="str">
        <f t="shared" si="13"/>
        <v/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2.75" customHeight="1" x14ac:dyDescent="0.2">
      <c r="A322" s="9">
        <v>19020</v>
      </c>
      <c r="B322" s="9" t="s">
        <v>158</v>
      </c>
      <c r="C322" s="9" t="s">
        <v>358</v>
      </c>
      <c r="D322" s="23"/>
      <c r="E322" s="42"/>
      <c r="F322" s="43"/>
      <c r="G322" s="42"/>
      <c r="H322" s="43"/>
      <c r="I322" s="25" t="s">
        <v>15</v>
      </c>
      <c r="J322" s="34" t="str">
        <f>IF(E322="","",raw_data!C314)</f>
        <v/>
      </c>
      <c r="K322" s="46"/>
      <c r="L322" s="87"/>
      <c r="M322" s="19" t="str">
        <f>IF(E322="","",raw_data!F314)</f>
        <v/>
      </c>
      <c r="N322" s="20" t="str">
        <f t="shared" si="14"/>
        <v/>
      </c>
      <c r="O322" s="90"/>
      <c r="P322" s="91"/>
      <c r="Q322" s="91"/>
      <c r="R322" s="91"/>
      <c r="S322" s="41" t="str">
        <f t="shared" si="13"/>
        <v/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2.75" customHeight="1" x14ac:dyDescent="0.2">
      <c r="A323" s="9">
        <v>19021</v>
      </c>
      <c r="B323" s="9" t="s">
        <v>158</v>
      </c>
      <c r="C323" s="9" t="s">
        <v>359</v>
      </c>
      <c r="D323" s="23"/>
      <c r="E323" s="42"/>
      <c r="F323" s="43"/>
      <c r="G323" s="42"/>
      <c r="H323" s="43"/>
      <c r="I323" s="25" t="s">
        <v>15</v>
      </c>
      <c r="J323" s="34" t="str">
        <f>IF(E323="","",raw_data!C315)</f>
        <v/>
      </c>
      <c r="K323" s="46"/>
      <c r="L323" s="87"/>
      <c r="M323" s="19" t="str">
        <f>IF(E323="","",raw_data!F315)</f>
        <v/>
      </c>
      <c r="N323" s="20" t="str">
        <f t="shared" si="14"/>
        <v/>
      </c>
      <c r="O323" s="90"/>
      <c r="P323" s="91"/>
      <c r="Q323" s="91"/>
      <c r="R323" s="91"/>
      <c r="S323" s="41" t="str">
        <f t="shared" si="13"/>
        <v/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2.75" customHeight="1" x14ac:dyDescent="0.2">
      <c r="A324" s="9">
        <v>19022</v>
      </c>
      <c r="B324" s="9" t="s">
        <v>158</v>
      </c>
      <c r="C324" s="9" t="s">
        <v>360</v>
      </c>
      <c r="D324" s="23"/>
      <c r="E324" s="42"/>
      <c r="F324" s="43"/>
      <c r="G324" s="42"/>
      <c r="H324" s="43"/>
      <c r="I324" s="25" t="s">
        <v>15</v>
      </c>
      <c r="J324" s="34" t="str">
        <f>IF(E324="","",raw_data!C316)</f>
        <v/>
      </c>
      <c r="K324" s="46"/>
      <c r="L324" s="87"/>
      <c r="M324" s="19" t="str">
        <f>IF(E324="","",raw_data!F316)</f>
        <v/>
      </c>
      <c r="N324" s="20" t="str">
        <f t="shared" si="14"/>
        <v/>
      </c>
      <c r="O324" s="90"/>
      <c r="P324" s="91"/>
      <c r="Q324" s="91"/>
      <c r="R324" s="91"/>
      <c r="S324" s="41" t="str">
        <f t="shared" si="13"/>
        <v/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2.75" customHeight="1" x14ac:dyDescent="0.2">
      <c r="A325" s="9">
        <v>19023</v>
      </c>
      <c r="B325" s="9" t="s">
        <v>158</v>
      </c>
      <c r="C325" s="9" t="s">
        <v>361</v>
      </c>
      <c r="D325" s="23"/>
      <c r="E325" s="42"/>
      <c r="F325" s="43"/>
      <c r="G325" s="42"/>
      <c r="H325" s="43"/>
      <c r="I325" s="25" t="s">
        <v>15</v>
      </c>
      <c r="J325" s="34" t="str">
        <f>IF(E325="","",raw_data!C317)</f>
        <v/>
      </c>
      <c r="K325" s="46"/>
      <c r="L325" s="87"/>
      <c r="M325" s="19" t="str">
        <f>IF(E325="","",raw_data!F317)</f>
        <v/>
      </c>
      <c r="N325" s="20" t="str">
        <f t="shared" si="14"/>
        <v/>
      </c>
      <c r="O325" s="90"/>
      <c r="P325" s="91"/>
      <c r="Q325" s="91"/>
      <c r="R325" s="91"/>
      <c r="S325" s="41" t="str">
        <f t="shared" si="13"/>
        <v/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2.75" customHeight="1" x14ac:dyDescent="0.2">
      <c r="A326" s="9">
        <v>19024</v>
      </c>
      <c r="B326" s="9" t="s">
        <v>158</v>
      </c>
      <c r="C326" s="9" t="s">
        <v>362</v>
      </c>
      <c r="D326" s="23"/>
      <c r="E326" s="42"/>
      <c r="F326" s="43"/>
      <c r="G326" s="42"/>
      <c r="H326" s="43"/>
      <c r="I326" s="25" t="s">
        <v>15</v>
      </c>
      <c r="J326" s="34" t="str">
        <f>IF(E326="","",raw_data!C318)</f>
        <v/>
      </c>
      <c r="K326" s="46"/>
      <c r="L326" s="87"/>
      <c r="M326" s="19" t="str">
        <f>IF(E326="","",raw_data!F318)</f>
        <v/>
      </c>
      <c r="N326" s="20" t="str">
        <f t="shared" si="14"/>
        <v/>
      </c>
      <c r="O326" s="90"/>
      <c r="P326" s="91"/>
      <c r="Q326" s="91"/>
      <c r="R326" s="91"/>
      <c r="S326" s="41" t="str">
        <f t="shared" si="13"/>
        <v/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2.75" customHeight="1" x14ac:dyDescent="0.2">
      <c r="A327" s="9">
        <v>19025</v>
      </c>
      <c r="B327" s="9" t="s">
        <v>158</v>
      </c>
      <c r="C327" s="9" t="s">
        <v>363</v>
      </c>
      <c r="D327" s="23"/>
      <c r="E327" s="42"/>
      <c r="F327" s="43"/>
      <c r="G327" s="42"/>
      <c r="H327" s="43"/>
      <c r="I327" s="25" t="s">
        <v>15</v>
      </c>
      <c r="J327" s="34" t="str">
        <f>IF(E327="","",raw_data!C319)</f>
        <v/>
      </c>
      <c r="K327" s="46"/>
      <c r="L327" s="87"/>
      <c r="M327" s="19" t="str">
        <f>IF(E327="","",raw_data!F319)</f>
        <v/>
      </c>
      <c r="N327" s="20" t="str">
        <f t="shared" si="14"/>
        <v/>
      </c>
      <c r="O327" s="90"/>
      <c r="P327" s="91"/>
      <c r="Q327" s="91"/>
      <c r="R327" s="91"/>
      <c r="S327" s="41" t="str">
        <f t="shared" si="13"/>
        <v/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2.75" customHeight="1" x14ac:dyDescent="0.2">
      <c r="A328" s="9">
        <v>19026</v>
      </c>
      <c r="B328" s="9" t="s">
        <v>158</v>
      </c>
      <c r="C328" s="9" t="s">
        <v>9</v>
      </c>
      <c r="D328" s="23"/>
      <c r="E328" s="42"/>
      <c r="F328" s="43"/>
      <c r="G328" s="42"/>
      <c r="H328" s="43"/>
      <c r="I328" s="25" t="s">
        <v>15</v>
      </c>
      <c r="J328" s="34" t="str">
        <f>IF(E328="","",raw_data!C320)</f>
        <v/>
      </c>
      <c r="K328" s="46"/>
      <c r="L328" s="87"/>
      <c r="M328" s="19" t="str">
        <f>IF(E328="","",raw_data!F320)</f>
        <v/>
      </c>
      <c r="N328" s="20" t="str">
        <f t="shared" si="14"/>
        <v/>
      </c>
      <c r="O328" s="90"/>
      <c r="P328" s="91"/>
      <c r="Q328" s="91"/>
      <c r="R328" s="91"/>
      <c r="S328" s="41" t="str">
        <f t="shared" si="13"/>
        <v/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2.75" customHeight="1" x14ac:dyDescent="0.2">
      <c r="A329" s="9">
        <v>19027</v>
      </c>
      <c r="B329" s="9" t="s">
        <v>158</v>
      </c>
      <c r="C329" s="9" t="s">
        <v>241</v>
      </c>
      <c r="D329" s="23"/>
      <c r="E329" s="42"/>
      <c r="F329" s="43"/>
      <c r="G329" s="42"/>
      <c r="H329" s="43"/>
      <c r="I329" s="25" t="s">
        <v>15</v>
      </c>
      <c r="J329" s="34" t="str">
        <f>IF(E329="","",raw_data!C321)</f>
        <v/>
      </c>
      <c r="K329" s="46"/>
      <c r="L329" s="87"/>
      <c r="M329" s="19" t="str">
        <f>IF(E329="","",raw_data!F321)</f>
        <v/>
      </c>
      <c r="N329" s="20" t="str">
        <f t="shared" si="14"/>
        <v/>
      </c>
      <c r="O329" s="90"/>
      <c r="P329" s="91"/>
      <c r="Q329" s="91"/>
      <c r="R329" s="91"/>
      <c r="S329" s="41" t="str">
        <f t="shared" si="13"/>
        <v/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2.75" customHeight="1" x14ac:dyDescent="0.2">
      <c r="A330" s="9">
        <v>19028</v>
      </c>
      <c r="B330" s="9" t="s">
        <v>158</v>
      </c>
      <c r="C330" s="9" t="s">
        <v>79</v>
      </c>
      <c r="D330" s="23"/>
      <c r="E330" s="42"/>
      <c r="F330" s="43"/>
      <c r="G330" s="42"/>
      <c r="H330" s="43"/>
      <c r="I330" s="25" t="s">
        <v>15</v>
      </c>
      <c r="J330" s="34" t="str">
        <f>IF(E330="","",raw_data!C322)</f>
        <v/>
      </c>
      <c r="K330" s="46"/>
      <c r="L330" s="87"/>
      <c r="M330" s="19" t="str">
        <f>IF(E330="","",raw_data!F322)</f>
        <v/>
      </c>
      <c r="N330" s="20" t="str">
        <f t="shared" si="14"/>
        <v/>
      </c>
      <c r="O330" s="90"/>
      <c r="P330" s="91"/>
      <c r="Q330" s="91"/>
      <c r="R330" s="91"/>
      <c r="S330" s="41" t="str">
        <f t="shared" ref="S330:S393" si="15">IF(E330="","",IF(OR(NOT(ISNUMBER(N330)),N330&lt;=(1-E330)),"erfüllt",IF(G330="Fehler","mit Fehler",IF(G330="Warnung","mit Warnung",""))))</f>
        <v/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2.75" customHeight="1" x14ac:dyDescent="0.2">
      <c r="A331" s="9">
        <v>19029</v>
      </c>
      <c r="B331" s="9" t="s">
        <v>158</v>
      </c>
      <c r="C331" s="9" t="s">
        <v>242</v>
      </c>
      <c r="D331" s="23"/>
      <c r="E331" s="42"/>
      <c r="F331" s="43"/>
      <c r="G331" s="42"/>
      <c r="H331" s="43"/>
      <c r="I331" s="25" t="s">
        <v>15</v>
      </c>
      <c r="J331" s="34" t="str">
        <f>IF(E331="","",raw_data!C323)</f>
        <v/>
      </c>
      <c r="K331" s="46"/>
      <c r="L331" s="87"/>
      <c r="M331" s="19" t="str">
        <f>IF(E331="","",raw_data!F323)</f>
        <v/>
      </c>
      <c r="N331" s="20" t="str">
        <f t="shared" ref="N331:N394" si="16">IF(E331="","",IFERROR(M331/J331,"-"))</f>
        <v/>
      </c>
      <c r="O331" s="90"/>
      <c r="P331" s="91"/>
      <c r="Q331" s="91"/>
      <c r="R331" s="91"/>
      <c r="S331" s="41" t="str">
        <f t="shared" si="15"/>
        <v/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2.75" customHeight="1" x14ac:dyDescent="0.2">
      <c r="A332" s="9">
        <v>19030</v>
      </c>
      <c r="B332" s="9" t="s">
        <v>158</v>
      </c>
      <c r="C332" s="9" t="s">
        <v>80</v>
      </c>
      <c r="D332" s="23"/>
      <c r="E332" s="42"/>
      <c r="F332" s="43"/>
      <c r="G332" s="42"/>
      <c r="H332" s="43"/>
      <c r="I332" s="25" t="s">
        <v>15</v>
      </c>
      <c r="J332" s="34" t="str">
        <f>IF(E332="","",raw_data!C324)</f>
        <v/>
      </c>
      <c r="K332" s="46"/>
      <c r="L332" s="87"/>
      <c r="M332" s="19" t="str">
        <f>IF(E332="","",raw_data!F324)</f>
        <v/>
      </c>
      <c r="N332" s="20" t="str">
        <f t="shared" si="16"/>
        <v/>
      </c>
      <c r="O332" s="90"/>
      <c r="P332" s="91"/>
      <c r="Q332" s="91"/>
      <c r="R332" s="91"/>
      <c r="S332" s="41" t="str">
        <f t="shared" si="15"/>
        <v/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2.75" customHeight="1" x14ac:dyDescent="0.2">
      <c r="A333" s="9">
        <v>19031</v>
      </c>
      <c r="B333" s="9" t="s">
        <v>158</v>
      </c>
      <c r="C333" s="9" t="s">
        <v>81</v>
      </c>
      <c r="D333" s="23"/>
      <c r="E333" s="42"/>
      <c r="F333" s="43"/>
      <c r="G333" s="42"/>
      <c r="H333" s="43"/>
      <c r="I333" s="25" t="s">
        <v>15</v>
      </c>
      <c r="J333" s="34" t="str">
        <f>IF(E333="","",raw_data!C325)</f>
        <v/>
      </c>
      <c r="K333" s="46"/>
      <c r="L333" s="87"/>
      <c r="M333" s="19" t="str">
        <f>IF(E333="","",raw_data!F325)</f>
        <v/>
      </c>
      <c r="N333" s="20" t="str">
        <f t="shared" si="16"/>
        <v/>
      </c>
      <c r="O333" s="90"/>
      <c r="P333" s="91"/>
      <c r="Q333" s="91"/>
      <c r="R333" s="91"/>
      <c r="S333" s="41" t="str">
        <f t="shared" si="15"/>
        <v/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2.75" customHeight="1" x14ac:dyDescent="0.2">
      <c r="A334" s="9">
        <v>19032</v>
      </c>
      <c r="B334" s="9" t="s">
        <v>158</v>
      </c>
      <c r="C334" s="9" t="s">
        <v>193</v>
      </c>
      <c r="D334" s="23"/>
      <c r="E334" s="42"/>
      <c r="F334" s="43"/>
      <c r="G334" s="42"/>
      <c r="H334" s="43"/>
      <c r="I334" s="25" t="s">
        <v>15</v>
      </c>
      <c r="J334" s="34" t="str">
        <f>IF(E334="","",raw_data!C326)</f>
        <v/>
      </c>
      <c r="K334" s="46"/>
      <c r="L334" s="87"/>
      <c r="M334" s="19" t="str">
        <f>IF(E334="","",raw_data!F326)</f>
        <v/>
      </c>
      <c r="N334" s="20" t="str">
        <f t="shared" si="16"/>
        <v/>
      </c>
      <c r="O334" s="90"/>
      <c r="P334" s="91"/>
      <c r="Q334" s="91"/>
      <c r="R334" s="91"/>
      <c r="S334" s="41" t="str">
        <f t="shared" si="15"/>
        <v/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2.75" customHeight="1" x14ac:dyDescent="0.2">
      <c r="A335" s="9">
        <v>19033</v>
      </c>
      <c r="B335" s="9" t="s">
        <v>158</v>
      </c>
      <c r="C335" s="9" t="s">
        <v>56</v>
      </c>
      <c r="D335" s="23"/>
      <c r="E335" s="42"/>
      <c r="F335" s="43"/>
      <c r="G335" s="42"/>
      <c r="H335" s="43"/>
      <c r="I335" s="25" t="s">
        <v>15</v>
      </c>
      <c r="J335" s="34" t="str">
        <f>IF(E335="","",raw_data!C327)</f>
        <v/>
      </c>
      <c r="K335" s="46"/>
      <c r="L335" s="87"/>
      <c r="M335" s="19" t="str">
        <f>IF(E335="","",raw_data!F327)</f>
        <v/>
      </c>
      <c r="N335" s="20" t="str">
        <f t="shared" si="16"/>
        <v/>
      </c>
      <c r="O335" s="90"/>
      <c r="P335" s="91"/>
      <c r="Q335" s="91"/>
      <c r="R335" s="91"/>
      <c r="S335" s="41" t="str">
        <f t="shared" si="15"/>
        <v/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2.75" customHeight="1" x14ac:dyDescent="0.2">
      <c r="A336" s="9">
        <v>19034</v>
      </c>
      <c r="B336" s="9" t="s">
        <v>82</v>
      </c>
      <c r="C336" s="9" t="s">
        <v>77</v>
      </c>
      <c r="D336" s="23"/>
      <c r="E336" s="42"/>
      <c r="F336" s="43"/>
      <c r="G336" s="42"/>
      <c r="H336" s="43"/>
      <c r="I336" s="25" t="s">
        <v>15</v>
      </c>
      <c r="J336" s="34" t="str">
        <f>IF(E336="","",raw_data!C328)</f>
        <v/>
      </c>
      <c r="K336" s="46"/>
      <c r="L336" s="87"/>
      <c r="M336" s="19" t="str">
        <f>IF(E336="","",raw_data!F328)</f>
        <v/>
      </c>
      <c r="N336" s="20" t="str">
        <f t="shared" si="16"/>
        <v/>
      </c>
      <c r="O336" s="90"/>
      <c r="P336" s="91"/>
      <c r="Q336" s="91"/>
      <c r="R336" s="91"/>
      <c r="S336" s="41" t="str">
        <f t="shared" si="15"/>
        <v/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2.75" customHeight="1" x14ac:dyDescent="0.2">
      <c r="A337" s="9">
        <v>19035</v>
      </c>
      <c r="B337" s="9" t="s">
        <v>82</v>
      </c>
      <c r="C337" s="9" t="s">
        <v>19</v>
      </c>
      <c r="D337" s="23"/>
      <c r="E337" s="42"/>
      <c r="F337" s="43"/>
      <c r="G337" s="42"/>
      <c r="H337" s="43"/>
      <c r="I337" s="25" t="s">
        <v>15</v>
      </c>
      <c r="J337" s="34" t="str">
        <f>IF(E337="","",raw_data!C329)</f>
        <v/>
      </c>
      <c r="K337" s="46"/>
      <c r="L337" s="87"/>
      <c r="M337" s="19" t="str">
        <f>IF(E337="","",raw_data!F329)</f>
        <v/>
      </c>
      <c r="N337" s="20" t="str">
        <f t="shared" si="16"/>
        <v/>
      </c>
      <c r="O337" s="90"/>
      <c r="P337" s="91"/>
      <c r="Q337" s="91"/>
      <c r="R337" s="91"/>
      <c r="S337" s="41" t="str">
        <f t="shared" si="15"/>
        <v/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2.75" customHeight="1" x14ac:dyDescent="0.2">
      <c r="A338" s="9">
        <v>19036</v>
      </c>
      <c r="B338" s="9" t="s">
        <v>82</v>
      </c>
      <c r="C338" s="9" t="s">
        <v>240</v>
      </c>
      <c r="D338" s="23"/>
      <c r="E338" s="42"/>
      <c r="F338" s="43"/>
      <c r="G338" s="42"/>
      <c r="H338" s="43"/>
      <c r="I338" s="25" t="s">
        <v>15</v>
      </c>
      <c r="J338" s="34" t="str">
        <f>IF(E338="","",raw_data!C330)</f>
        <v/>
      </c>
      <c r="K338" s="46"/>
      <c r="L338" s="87"/>
      <c r="M338" s="19" t="str">
        <f>IF(E338="","",raw_data!F330)</f>
        <v/>
      </c>
      <c r="N338" s="20" t="str">
        <f t="shared" si="16"/>
        <v/>
      </c>
      <c r="O338" s="90"/>
      <c r="P338" s="91"/>
      <c r="Q338" s="91"/>
      <c r="R338" s="91"/>
      <c r="S338" s="41" t="str">
        <f t="shared" si="15"/>
        <v/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2.75" customHeight="1" x14ac:dyDescent="0.2">
      <c r="A339" s="9">
        <v>19037</v>
      </c>
      <c r="B339" s="9" t="s">
        <v>82</v>
      </c>
      <c r="C339" s="9" t="s">
        <v>160</v>
      </c>
      <c r="D339" s="23"/>
      <c r="E339" s="42"/>
      <c r="F339" s="43"/>
      <c r="G339" s="42"/>
      <c r="H339" s="43"/>
      <c r="I339" s="25" t="s">
        <v>15</v>
      </c>
      <c r="J339" s="34" t="str">
        <f>IF(E339="","",raw_data!C331)</f>
        <v/>
      </c>
      <c r="K339" s="46"/>
      <c r="L339" s="87"/>
      <c r="M339" s="19" t="str">
        <f>IF(E339="","",raw_data!F331)</f>
        <v/>
      </c>
      <c r="N339" s="20" t="str">
        <f t="shared" si="16"/>
        <v/>
      </c>
      <c r="O339" s="90"/>
      <c r="P339" s="91"/>
      <c r="Q339" s="91"/>
      <c r="R339" s="91"/>
      <c r="S339" s="41" t="str">
        <f t="shared" si="15"/>
        <v/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2.75" customHeight="1" x14ac:dyDescent="0.2">
      <c r="A340" s="9">
        <v>19038</v>
      </c>
      <c r="B340" s="9" t="s">
        <v>82</v>
      </c>
      <c r="C340" s="9" t="s">
        <v>161</v>
      </c>
      <c r="D340" s="23"/>
      <c r="E340" s="42"/>
      <c r="F340" s="43"/>
      <c r="G340" s="42"/>
      <c r="H340" s="43"/>
      <c r="I340" s="25" t="s">
        <v>15</v>
      </c>
      <c r="J340" s="34" t="str">
        <f>IF(E340="","",raw_data!C332)</f>
        <v/>
      </c>
      <c r="K340" s="46"/>
      <c r="L340" s="87"/>
      <c r="M340" s="19" t="str">
        <f>IF(E340="","",raw_data!F332)</f>
        <v/>
      </c>
      <c r="N340" s="20" t="str">
        <f t="shared" si="16"/>
        <v/>
      </c>
      <c r="O340" s="90"/>
      <c r="P340" s="91"/>
      <c r="Q340" s="91"/>
      <c r="R340" s="91"/>
      <c r="S340" s="41" t="str">
        <f t="shared" si="15"/>
        <v/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2.75" customHeight="1" x14ac:dyDescent="0.2">
      <c r="A341" s="9">
        <v>19039</v>
      </c>
      <c r="B341" s="9" t="s">
        <v>82</v>
      </c>
      <c r="C341" s="9" t="s">
        <v>346</v>
      </c>
      <c r="D341" s="23"/>
      <c r="E341" s="42"/>
      <c r="F341" s="43"/>
      <c r="G341" s="42"/>
      <c r="H341" s="43"/>
      <c r="I341" s="25" t="s">
        <v>15</v>
      </c>
      <c r="J341" s="34" t="str">
        <f>IF(E341="","",raw_data!C333)</f>
        <v/>
      </c>
      <c r="K341" s="46"/>
      <c r="L341" s="87"/>
      <c r="M341" s="19" t="str">
        <f>IF(E341="","",raw_data!F333)</f>
        <v/>
      </c>
      <c r="N341" s="20" t="str">
        <f t="shared" si="16"/>
        <v/>
      </c>
      <c r="O341" s="90"/>
      <c r="P341" s="91"/>
      <c r="Q341" s="91"/>
      <c r="R341" s="91"/>
      <c r="S341" s="41" t="str">
        <f t="shared" si="15"/>
        <v/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2.75" customHeight="1" x14ac:dyDescent="0.2">
      <c r="A342" s="9">
        <v>19040</v>
      </c>
      <c r="B342" s="9" t="s">
        <v>82</v>
      </c>
      <c r="C342" s="9" t="s">
        <v>347</v>
      </c>
      <c r="D342" s="23"/>
      <c r="E342" s="42"/>
      <c r="F342" s="43"/>
      <c r="G342" s="42"/>
      <c r="H342" s="43"/>
      <c r="I342" s="25" t="s">
        <v>15</v>
      </c>
      <c r="J342" s="34" t="str">
        <f>IF(E342="","",raw_data!C334)</f>
        <v/>
      </c>
      <c r="K342" s="46"/>
      <c r="L342" s="87"/>
      <c r="M342" s="19" t="str">
        <f>IF(E342="","",raw_data!F334)</f>
        <v/>
      </c>
      <c r="N342" s="20" t="str">
        <f t="shared" si="16"/>
        <v/>
      </c>
      <c r="O342" s="90"/>
      <c r="P342" s="91"/>
      <c r="Q342" s="91"/>
      <c r="R342" s="91"/>
      <c r="S342" s="41" t="str">
        <f t="shared" si="15"/>
        <v/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2.75" customHeight="1" x14ac:dyDescent="0.2">
      <c r="A343" s="9">
        <v>19041</v>
      </c>
      <c r="B343" s="9" t="s">
        <v>82</v>
      </c>
      <c r="C343" s="9" t="s">
        <v>348</v>
      </c>
      <c r="D343" s="23"/>
      <c r="E343" s="42"/>
      <c r="F343" s="43"/>
      <c r="G343" s="42"/>
      <c r="H343" s="43"/>
      <c r="I343" s="25" t="s">
        <v>15</v>
      </c>
      <c r="J343" s="34" t="str">
        <f>IF(E343="","",raw_data!C335)</f>
        <v/>
      </c>
      <c r="K343" s="46"/>
      <c r="L343" s="87"/>
      <c r="M343" s="19" t="str">
        <f>IF(E343="","",raw_data!F335)</f>
        <v/>
      </c>
      <c r="N343" s="20" t="str">
        <f t="shared" si="16"/>
        <v/>
      </c>
      <c r="O343" s="90"/>
      <c r="P343" s="91"/>
      <c r="Q343" s="91"/>
      <c r="R343" s="91"/>
      <c r="S343" s="41" t="str">
        <f t="shared" si="15"/>
        <v/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2.75" customHeight="1" x14ac:dyDescent="0.2">
      <c r="A344" s="9">
        <v>19042</v>
      </c>
      <c r="B344" s="9" t="s">
        <v>82</v>
      </c>
      <c r="C344" s="9" t="s">
        <v>349</v>
      </c>
      <c r="D344" s="23"/>
      <c r="E344" s="42"/>
      <c r="F344" s="43"/>
      <c r="G344" s="42"/>
      <c r="H344" s="43"/>
      <c r="I344" s="25" t="s">
        <v>15</v>
      </c>
      <c r="J344" s="34" t="str">
        <f>IF(E344="","",raw_data!C336)</f>
        <v/>
      </c>
      <c r="K344" s="46"/>
      <c r="L344" s="87"/>
      <c r="M344" s="19" t="str">
        <f>IF(E344="","",raw_data!F336)</f>
        <v/>
      </c>
      <c r="N344" s="20" t="str">
        <f t="shared" si="16"/>
        <v/>
      </c>
      <c r="O344" s="90"/>
      <c r="P344" s="91"/>
      <c r="Q344" s="91"/>
      <c r="R344" s="91"/>
      <c r="S344" s="41" t="str">
        <f t="shared" si="15"/>
        <v/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2.75" customHeight="1" x14ac:dyDescent="0.2">
      <c r="A345" s="9">
        <v>19043</v>
      </c>
      <c r="B345" s="9" t="s">
        <v>82</v>
      </c>
      <c r="C345" s="9" t="s">
        <v>350</v>
      </c>
      <c r="D345" s="23"/>
      <c r="E345" s="42"/>
      <c r="F345" s="43"/>
      <c r="G345" s="42"/>
      <c r="H345" s="43"/>
      <c r="I345" s="25" t="s">
        <v>15</v>
      </c>
      <c r="J345" s="34" t="str">
        <f>IF(E345="","",raw_data!C337)</f>
        <v/>
      </c>
      <c r="K345" s="46"/>
      <c r="L345" s="87"/>
      <c r="M345" s="19" t="str">
        <f>IF(E345="","",raw_data!F337)</f>
        <v/>
      </c>
      <c r="N345" s="20" t="str">
        <f t="shared" si="16"/>
        <v/>
      </c>
      <c r="O345" s="90"/>
      <c r="P345" s="91"/>
      <c r="Q345" s="91"/>
      <c r="R345" s="91"/>
      <c r="S345" s="41" t="str">
        <f t="shared" si="15"/>
        <v/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2.75" customHeight="1" x14ac:dyDescent="0.2">
      <c r="A346" s="9">
        <v>19044</v>
      </c>
      <c r="B346" s="9" t="s">
        <v>82</v>
      </c>
      <c r="C346" s="9" t="s">
        <v>351</v>
      </c>
      <c r="D346" s="23"/>
      <c r="E346" s="42"/>
      <c r="F346" s="43"/>
      <c r="G346" s="42"/>
      <c r="H346" s="43"/>
      <c r="I346" s="25" t="s">
        <v>15</v>
      </c>
      <c r="J346" s="34" t="str">
        <f>IF(E346="","",raw_data!C338)</f>
        <v/>
      </c>
      <c r="K346" s="46"/>
      <c r="L346" s="87"/>
      <c r="M346" s="19" t="str">
        <f>IF(E346="","",raw_data!F338)</f>
        <v/>
      </c>
      <c r="N346" s="20" t="str">
        <f t="shared" si="16"/>
        <v/>
      </c>
      <c r="O346" s="90"/>
      <c r="P346" s="91"/>
      <c r="Q346" s="91"/>
      <c r="R346" s="91"/>
      <c r="S346" s="41" t="str">
        <f t="shared" si="15"/>
        <v/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2.75" customHeight="1" x14ac:dyDescent="0.2">
      <c r="A347" s="9">
        <v>19045</v>
      </c>
      <c r="B347" s="9" t="s">
        <v>82</v>
      </c>
      <c r="C347" s="9" t="s">
        <v>352</v>
      </c>
      <c r="D347" s="23"/>
      <c r="E347" s="42"/>
      <c r="F347" s="43"/>
      <c r="G347" s="42"/>
      <c r="H347" s="43"/>
      <c r="I347" s="25" t="s">
        <v>15</v>
      </c>
      <c r="J347" s="34" t="str">
        <f>IF(E347="","",raw_data!C339)</f>
        <v/>
      </c>
      <c r="K347" s="46"/>
      <c r="L347" s="87"/>
      <c r="M347" s="19" t="str">
        <f>IF(E347="","",raw_data!F339)</f>
        <v/>
      </c>
      <c r="N347" s="20" t="str">
        <f t="shared" si="16"/>
        <v/>
      </c>
      <c r="O347" s="90"/>
      <c r="P347" s="91"/>
      <c r="Q347" s="91"/>
      <c r="R347" s="91"/>
      <c r="S347" s="41" t="str">
        <f t="shared" si="15"/>
        <v/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2.75" customHeight="1" x14ac:dyDescent="0.2">
      <c r="A348" s="9">
        <v>19046</v>
      </c>
      <c r="B348" s="9" t="s">
        <v>82</v>
      </c>
      <c r="C348" s="9" t="s">
        <v>353</v>
      </c>
      <c r="D348" s="23"/>
      <c r="E348" s="42"/>
      <c r="F348" s="43"/>
      <c r="G348" s="42"/>
      <c r="H348" s="43"/>
      <c r="I348" s="25" t="s">
        <v>15</v>
      </c>
      <c r="J348" s="34" t="str">
        <f>IF(E348="","",raw_data!C340)</f>
        <v/>
      </c>
      <c r="K348" s="46"/>
      <c r="L348" s="87"/>
      <c r="M348" s="19" t="str">
        <f>IF(E348="","",raw_data!F340)</f>
        <v/>
      </c>
      <c r="N348" s="20" t="str">
        <f t="shared" si="16"/>
        <v/>
      </c>
      <c r="O348" s="90"/>
      <c r="P348" s="91"/>
      <c r="Q348" s="91"/>
      <c r="R348" s="91"/>
      <c r="S348" s="41" t="str">
        <f t="shared" si="15"/>
        <v/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2.75" customHeight="1" x14ac:dyDescent="0.2">
      <c r="A349" s="9">
        <v>19047</v>
      </c>
      <c r="B349" s="9" t="s">
        <v>82</v>
      </c>
      <c r="C349" s="9" t="s">
        <v>354</v>
      </c>
      <c r="D349" s="23"/>
      <c r="E349" s="42"/>
      <c r="F349" s="43"/>
      <c r="G349" s="42"/>
      <c r="H349" s="43"/>
      <c r="I349" s="25" t="s">
        <v>15</v>
      </c>
      <c r="J349" s="34" t="str">
        <f>IF(E349="","",raw_data!C341)</f>
        <v/>
      </c>
      <c r="K349" s="46"/>
      <c r="L349" s="87"/>
      <c r="M349" s="19" t="str">
        <f>IF(E349="","",raw_data!F341)</f>
        <v/>
      </c>
      <c r="N349" s="20" t="str">
        <f t="shared" si="16"/>
        <v/>
      </c>
      <c r="O349" s="90"/>
      <c r="P349" s="91"/>
      <c r="Q349" s="91"/>
      <c r="R349" s="91"/>
      <c r="S349" s="41" t="str">
        <f t="shared" si="15"/>
        <v/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2.75" customHeight="1" x14ac:dyDescent="0.2">
      <c r="A350" s="9">
        <v>19048</v>
      </c>
      <c r="B350" s="9" t="s">
        <v>82</v>
      </c>
      <c r="C350" s="9" t="s">
        <v>243</v>
      </c>
      <c r="D350" s="23"/>
      <c r="E350" s="42"/>
      <c r="F350" s="43"/>
      <c r="G350" s="42"/>
      <c r="H350" s="43"/>
      <c r="I350" s="25" t="s">
        <v>15</v>
      </c>
      <c r="J350" s="34" t="str">
        <f>IF(E350="","",raw_data!C342)</f>
        <v/>
      </c>
      <c r="K350" s="46"/>
      <c r="L350" s="87"/>
      <c r="M350" s="19" t="str">
        <f>IF(E350="","",raw_data!F342)</f>
        <v/>
      </c>
      <c r="N350" s="20" t="str">
        <f t="shared" si="16"/>
        <v/>
      </c>
      <c r="O350" s="90"/>
      <c r="P350" s="91"/>
      <c r="Q350" s="91"/>
      <c r="R350" s="91"/>
      <c r="S350" s="41" t="str">
        <f t="shared" si="15"/>
        <v/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2.75" customHeight="1" x14ac:dyDescent="0.2">
      <c r="A351" s="9">
        <v>19049</v>
      </c>
      <c r="B351" s="9" t="s">
        <v>82</v>
      </c>
      <c r="C351" s="9" t="s">
        <v>244</v>
      </c>
      <c r="D351" s="23"/>
      <c r="E351" s="42"/>
      <c r="F351" s="43"/>
      <c r="G351" s="42"/>
      <c r="H351" s="43"/>
      <c r="I351" s="25" t="s">
        <v>15</v>
      </c>
      <c r="J351" s="34" t="str">
        <f>IF(E351="","",raw_data!C343)</f>
        <v/>
      </c>
      <c r="K351" s="46"/>
      <c r="L351" s="87"/>
      <c r="M351" s="19" t="str">
        <f>IF(E351="","",raw_data!F343)</f>
        <v/>
      </c>
      <c r="N351" s="20" t="str">
        <f t="shared" si="16"/>
        <v/>
      </c>
      <c r="O351" s="90"/>
      <c r="P351" s="91"/>
      <c r="Q351" s="91"/>
      <c r="R351" s="91"/>
      <c r="S351" s="41" t="str">
        <f t="shared" si="15"/>
        <v/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2.75" customHeight="1" x14ac:dyDescent="0.2">
      <c r="A352" s="9">
        <v>19050</v>
      </c>
      <c r="B352" s="9" t="s">
        <v>82</v>
      </c>
      <c r="C352" s="9" t="s">
        <v>245</v>
      </c>
      <c r="D352" s="23"/>
      <c r="E352" s="42"/>
      <c r="F352" s="43"/>
      <c r="G352" s="42"/>
      <c r="H352" s="43"/>
      <c r="I352" s="25" t="s">
        <v>15</v>
      </c>
      <c r="J352" s="34" t="str">
        <f>IF(E352="","",raw_data!C344)</f>
        <v/>
      </c>
      <c r="K352" s="46"/>
      <c r="L352" s="87"/>
      <c r="M352" s="19" t="str">
        <f>IF(E352="","",raw_data!F344)</f>
        <v/>
      </c>
      <c r="N352" s="20" t="str">
        <f t="shared" si="16"/>
        <v/>
      </c>
      <c r="O352" s="90"/>
      <c r="P352" s="91"/>
      <c r="Q352" s="91"/>
      <c r="R352" s="91"/>
      <c r="S352" s="41" t="str">
        <f t="shared" si="15"/>
        <v/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2.75" customHeight="1" x14ac:dyDescent="0.2">
      <c r="A353" s="9">
        <v>19051</v>
      </c>
      <c r="B353" s="9" t="s">
        <v>82</v>
      </c>
      <c r="C353" s="9" t="s">
        <v>78</v>
      </c>
      <c r="D353" s="23"/>
      <c r="E353" s="42"/>
      <c r="F353" s="43"/>
      <c r="G353" s="42"/>
      <c r="H353" s="43"/>
      <c r="I353" s="25" t="s">
        <v>15</v>
      </c>
      <c r="J353" s="34" t="str">
        <f>IF(E353="","",raw_data!C345)</f>
        <v/>
      </c>
      <c r="K353" s="46"/>
      <c r="L353" s="87"/>
      <c r="M353" s="19" t="str">
        <f>IF(E353="","",raw_data!F345)</f>
        <v/>
      </c>
      <c r="N353" s="20" t="str">
        <f t="shared" si="16"/>
        <v/>
      </c>
      <c r="O353" s="90"/>
      <c r="P353" s="91"/>
      <c r="Q353" s="91"/>
      <c r="R353" s="91"/>
      <c r="S353" s="41" t="str">
        <f t="shared" si="15"/>
        <v/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2.75" customHeight="1" x14ac:dyDescent="0.2">
      <c r="A354" s="9">
        <v>19052</v>
      </c>
      <c r="B354" s="9" t="s">
        <v>82</v>
      </c>
      <c r="C354" s="9" t="s">
        <v>162</v>
      </c>
      <c r="D354" s="23"/>
      <c r="E354" s="42"/>
      <c r="F354" s="43"/>
      <c r="G354" s="42"/>
      <c r="H354" s="43"/>
      <c r="I354" s="25" t="s">
        <v>15</v>
      </c>
      <c r="J354" s="34" t="str">
        <f>IF(E354="","",raw_data!C346)</f>
        <v/>
      </c>
      <c r="K354" s="46"/>
      <c r="L354" s="87"/>
      <c r="M354" s="19" t="str">
        <f>IF(E354="","",raw_data!F346)</f>
        <v/>
      </c>
      <c r="N354" s="20" t="str">
        <f t="shared" si="16"/>
        <v/>
      </c>
      <c r="O354" s="90"/>
      <c r="P354" s="91"/>
      <c r="Q354" s="91"/>
      <c r="R354" s="91"/>
      <c r="S354" s="41" t="str">
        <f t="shared" si="15"/>
        <v/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2.75" customHeight="1" x14ac:dyDescent="0.2">
      <c r="A355" s="9">
        <v>19053</v>
      </c>
      <c r="B355" s="9" t="s">
        <v>82</v>
      </c>
      <c r="C355" s="9" t="s">
        <v>355</v>
      </c>
      <c r="D355" s="23"/>
      <c r="E355" s="42"/>
      <c r="F355" s="43"/>
      <c r="G355" s="42"/>
      <c r="H355" s="43"/>
      <c r="I355" s="25" t="s">
        <v>15</v>
      </c>
      <c r="J355" s="34" t="str">
        <f>IF(E355="","",raw_data!C347)</f>
        <v/>
      </c>
      <c r="K355" s="46"/>
      <c r="L355" s="87"/>
      <c r="M355" s="19" t="str">
        <f>IF(E355="","",raw_data!F347)</f>
        <v/>
      </c>
      <c r="N355" s="20" t="str">
        <f t="shared" si="16"/>
        <v/>
      </c>
      <c r="O355" s="90"/>
      <c r="P355" s="91"/>
      <c r="Q355" s="91"/>
      <c r="R355" s="91"/>
      <c r="S355" s="41" t="str">
        <f t="shared" si="15"/>
        <v/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2.75" customHeight="1" x14ac:dyDescent="0.2">
      <c r="A356" s="9">
        <v>19054</v>
      </c>
      <c r="B356" s="9" t="s">
        <v>82</v>
      </c>
      <c r="C356" s="9" t="s">
        <v>356</v>
      </c>
      <c r="D356" s="23"/>
      <c r="E356" s="42"/>
      <c r="F356" s="43"/>
      <c r="G356" s="42"/>
      <c r="H356" s="43"/>
      <c r="I356" s="25" t="s">
        <v>15</v>
      </c>
      <c r="J356" s="34" t="str">
        <f>IF(E356="","",raw_data!C348)</f>
        <v/>
      </c>
      <c r="K356" s="46"/>
      <c r="L356" s="87"/>
      <c r="M356" s="19" t="str">
        <f>IF(E356="","",raw_data!F348)</f>
        <v/>
      </c>
      <c r="N356" s="20" t="str">
        <f t="shared" si="16"/>
        <v/>
      </c>
      <c r="O356" s="90"/>
      <c r="P356" s="91"/>
      <c r="Q356" s="91"/>
      <c r="R356" s="91"/>
      <c r="S356" s="41" t="str">
        <f t="shared" si="15"/>
        <v/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2.75" customHeight="1" x14ac:dyDescent="0.2">
      <c r="A357" s="9">
        <v>19055</v>
      </c>
      <c r="B357" s="9" t="s">
        <v>82</v>
      </c>
      <c r="C357" s="9" t="s">
        <v>357</v>
      </c>
      <c r="D357" s="23"/>
      <c r="E357" s="42"/>
      <c r="F357" s="43"/>
      <c r="G357" s="42"/>
      <c r="H357" s="43"/>
      <c r="I357" s="25" t="s">
        <v>15</v>
      </c>
      <c r="J357" s="34" t="str">
        <f>IF(E357="","",raw_data!C349)</f>
        <v/>
      </c>
      <c r="K357" s="46"/>
      <c r="L357" s="87"/>
      <c r="M357" s="19" t="str">
        <f>IF(E357="","",raw_data!F349)</f>
        <v/>
      </c>
      <c r="N357" s="20" t="str">
        <f t="shared" si="16"/>
        <v/>
      </c>
      <c r="O357" s="90"/>
      <c r="P357" s="91"/>
      <c r="Q357" s="91"/>
      <c r="R357" s="91"/>
      <c r="S357" s="41" t="str">
        <f t="shared" si="15"/>
        <v/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2.75" customHeight="1" x14ac:dyDescent="0.2">
      <c r="A358" s="9">
        <v>19056</v>
      </c>
      <c r="B358" s="9" t="s">
        <v>82</v>
      </c>
      <c r="C358" s="9" t="s">
        <v>358</v>
      </c>
      <c r="D358" s="23"/>
      <c r="E358" s="42"/>
      <c r="F358" s="43"/>
      <c r="G358" s="42"/>
      <c r="H358" s="43"/>
      <c r="I358" s="25" t="s">
        <v>15</v>
      </c>
      <c r="J358" s="34" t="str">
        <f>IF(E358="","",raw_data!C350)</f>
        <v/>
      </c>
      <c r="K358" s="46"/>
      <c r="L358" s="87"/>
      <c r="M358" s="19" t="str">
        <f>IF(E358="","",raw_data!F350)</f>
        <v/>
      </c>
      <c r="N358" s="20" t="str">
        <f t="shared" si="16"/>
        <v/>
      </c>
      <c r="O358" s="90"/>
      <c r="P358" s="91"/>
      <c r="Q358" s="91"/>
      <c r="R358" s="91"/>
      <c r="S358" s="41" t="str">
        <f t="shared" si="15"/>
        <v/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2.75" customHeight="1" x14ac:dyDescent="0.2">
      <c r="A359" s="9">
        <v>19057</v>
      </c>
      <c r="B359" s="9" t="s">
        <v>82</v>
      </c>
      <c r="C359" s="9" t="s">
        <v>359</v>
      </c>
      <c r="D359" s="23"/>
      <c r="E359" s="42"/>
      <c r="F359" s="43"/>
      <c r="G359" s="42"/>
      <c r="H359" s="43"/>
      <c r="I359" s="25" t="s">
        <v>15</v>
      </c>
      <c r="J359" s="34" t="str">
        <f>IF(E359="","",raw_data!C351)</f>
        <v/>
      </c>
      <c r="K359" s="46"/>
      <c r="L359" s="87"/>
      <c r="M359" s="19" t="str">
        <f>IF(E359="","",raw_data!F351)</f>
        <v/>
      </c>
      <c r="N359" s="20" t="str">
        <f t="shared" si="16"/>
        <v/>
      </c>
      <c r="O359" s="90"/>
      <c r="P359" s="91"/>
      <c r="Q359" s="91"/>
      <c r="R359" s="91"/>
      <c r="S359" s="41" t="str">
        <f t="shared" si="15"/>
        <v/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2.75" customHeight="1" x14ac:dyDescent="0.2">
      <c r="A360" s="9">
        <v>19058</v>
      </c>
      <c r="B360" s="9" t="s">
        <v>82</v>
      </c>
      <c r="C360" s="9" t="s">
        <v>360</v>
      </c>
      <c r="D360" s="23"/>
      <c r="E360" s="42"/>
      <c r="F360" s="43"/>
      <c r="G360" s="42"/>
      <c r="H360" s="43"/>
      <c r="I360" s="25" t="s">
        <v>15</v>
      </c>
      <c r="J360" s="34" t="str">
        <f>IF(E360="","",raw_data!C352)</f>
        <v/>
      </c>
      <c r="K360" s="46"/>
      <c r="L360" s="87"/>
      <c r="M360" s="19" t="str">
        <f>IF(E360="","",raw_data!F352)</f>
        <v/>
      </c>
      <c r="N360" s="20" t="str">
        <f t="shared" si="16"/>
        <v/>
      </c>
      <c r="O360" s="90"/>
      <c r="P360" s="91"/>
      <c r="Q360" s="91"/>
      <c r="R360" s="91"/>
      <c r="S360" s="41" t="str">
        <f t="shared" si="15"/>
        <v/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2.75" customHeight="1" x14ac:dyDescent="0.2">
      <c r="A361" s="9">
        <v>19059</v>
      </c>
      <c r="B361" s="9" t="s">
        <v>82</v>
      </c>
      <c r="C361" s="9" t="s">
        <v>361</v>
      </c>
      <c r="D361" s="23"/>
      <c r="E361" s="42"/>
      <c r="F361" s="43"/>
      <c r="G361" s="42"/>
      <c r="H361" s="43"/>
      <c r="I361" s="25" t="s">
        <v>15</v>
      </c>
      <c r="J361" s="34" t="str">
        <f>IF(E361="","",raw_data!C353)</f>
        <v/>
      </c>
      <c r="K361" s="46"/>
      <c r="L361" s="87"/>
      <c r="M361" s="19" t="str">
        <f>IF(E361="","",raw_data!F353)</f>
        <v/>
      </c>
      <c r="N361" s="20" t="str">
        <f t="shared" si="16"/>
        <v/>
      </c>
      <c r="O361" s="90"/>
      <c r="P361" s="91"/>
      <c r="Q361" s="91"/>
      <c r="R361" s="91"/>
      <c r="S361" s="41" t="str">
        <f t="shared" si="15"/>
        <v/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2.75" customHeight="1" x14ac:dyDescent="0.2">
      <c r="A362" s="9">
        <v>19060</v>
      </c>
      <c r="B362" s="9" t="s">
        <v>82</v>
      </c>
      <c r="C362" s="9" t="s">
        <v>362</v>
      </c>
      <c r="D362" s="23"/>
      <c r="E362" s="42"/>
      <c r="F362" s="43"/>
      <c r="G362" s="42"/>
      <c r="H362" s="43"/>
      <c r="I362" s="25" t="s">
        <v>15</v>
      </c>
      <c r="J362" s="34" t="str">
        <f>IF(E362="","",raw_data!C354)</f>
        <v/>
      </c>
      <c r="K362" s="46"/>
      <c r="L362" s="87"/>
      <c r="M362" s="19" t="str">
        <f>IF(E362="","",raw_data!F354)</f>
        <v/>
      </c>
      <c r="N362" s="20" t="str">
        <f t="shared" si="16"/>
        <v/>
      </c>
      <c r="O362" s="90"/>
      <c r="P362" s="91"/>
      <c r="Q362" s="91"/>
      <c r="R362" s="91"/>
      <c r="S362" s="41" t="str">
        <f t="shared" si="15"/>
        <v/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2.75" customHeight="1" x14ac:dyDescent="0.2">
      <c r="A363" s="9">
        <v>19061</v>
      </c>
      <c r="B363" s="9" t="s">
        <v>82</v>
      </c>
      <c r="C363" s="9" t="s">
        <v>363</v>
      </c>
      <c r="D363" s="23"/>
      <c r="E363" s="42"/>
      <c r="F363" s="43"/>
      <c r="G363" s="42"/>
      <c r="H363" s="43"/>
      <c r="I363" s="25" t="s">
        <v>15</v>
      </c>
      <c r="J363" s="34" t="str">
        <f>IF(E363="","",raw_data!C355)</f>
        <v/>
      </c>
      <c r="K363" s="46"/>
      <c r="L363" s="87"/>
      <c r="M363" s="19" t="str">
        <f>IF(E363="","",raw_data!F355)</f>
        <v/>
      </c>
      <c r="N363" s="20" t="str">
        <f t="shared" si="16"/>
        <v/>
      </c>
      <c r="O363" s="90"/>
      <c r="P363" s="91"/>
      <c r="Q363" s="91"/>
      <c r="R363" s="91"/>
      <c r="S363" s="41" t="str">
        <f t="shared" si="15"/>
        <v/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2.75" customHeight="1" x14ac:dyDescent="0.2">
      <c r="A364" s="9">
        <v>19062</v>
      </c>
      <c r="B364" s="9" t="s">
        <v>82</v>
      </c>
      <c r="C364" s="9" t="s">
        <v>246</v>
      </c>
      <c r="D364" s="23"/>
      <c r="E364" s="42"/>
      <c r="F364" s="43"/>
      <c r="G364" s="42"/>
      <c r="H364" s="43"/>
      <c r="I364" s="25" t="s">
        <v>15</v>
      </c>
      <c r="J364" s="34" t="str">
        <f>IF(E364="","",raw_data!C356)</f>
        <v/>
      </c>
      <c r="K364" s="46"/>
      <c r="L364" s="87"/>
      <c r="M364" s="19" t="str">
        <f>IF(E364="","",raw_data!F356)</f>
        <v/>
      </c>
      <c r="N364" s="20" t="str">
        <f t="shared" si="16"/>
        <v/>
      </c>
      <c r="O364" s="90"/>
      <c r="P364" s="91"/>
      <c r="Q364" s="91"/>
      <c r="R364" s="91"/>
      <c r="S364" s="41" t="str">
        <f t="shared" si="15"/>
        <v/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2.75" customHeight="1" x14ac:dyDescent="0.2">
      <c r="A365" s="9">
        <v>19063</v>
      </c>
      <c r="B365" s="9" t="s">
        <v>82</v>
      </c>
      <c r="C365" s="9" t="s">
        <v>247</v>
      </c>
      <c r="D365" s="23"/>
      <c r="E365" s="42"/>
      <c r="F365" s="43"/>
      <c r="G365" s="42"/>
      <c r="H365" s="43"/>
      <c r="I365" s="25" t="s">
        <v>15</v>
      </c>
      <c r="J365" s="34" t="str">
        <f>IF(E365="","",raw_data!C357)</f>
        <v/>
      </c>
      <c r="K365" s="46"/>
      <c r="L365" s="87"/>
      <c r="M365" s="19" t="str">
        <f>IF(E365="","",raw_data!F357)</f>
        <v/>
      </c>
      <c r="N365" s="20" t="str">
        <f t="shared" si="16"/>
        <v/>
      </c>
      <c r="O365" s="90"/>
      <c r="P365" s="91"/>
      <c r="Q365" s="91"/>
      <c r="R365" s="91"/>
      <c r="S365" s="41" t="str">
        <f t="shared" si="15"/>
        <v/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2.75" customHeight="1" x14ac:dyDescent="0.2">
      <c r="A366" s="9">
        <v>19064</v>
      </c>
      <c r="B366" s="9" t="s">
        <v>82</v>
      </c>
      <c r="C366" s="9" t="s">
        <v>248</v>
      </c>
      <c r="D366" s="23"/>
      <c r="E366" s="42"/>
      <c r="F366" s="43"/>
      <c r="G366" s="42"/>
      <c r="H366" s="43"/>
      <c r="I366" s="25" t="s">
        <v>15</v>
      </c>
      <c r="J366" s="34" t="str">
        <f>IF(E366="","",raw_data!C358)</f>
        <v/>
      </c>
      <c r="K366" s="46"/>
      <c r="L366" s="87"/>
      <c r="M366" s="19" t="str">
        <f>IF(E366="","",raw_data!F358)</f>
        <v/>
      </c>
      <c r="N366" s="20" t="str">
        <f t="shared" si="16"/>
        <v/>
      </c>
      <c r="O366" s="90"/>
      <c r="P366" s="91"/>
      <c r="Q366" s="91"/>
      <c r="R366" s="91"/>
      <c r="S366" s="41" t="str">
        <f t="shared" si="15"/>
        <v/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2.75" customHeight="1" x14ac:dyDescent="0.2">
      <c r="A367" s="9">
        <v>19065</v>
      </c>
      <c r="B367" s="9" t="s">
        <v>82</v>
      </c>
      <c r="C367" s="9" t="s">
        <v>9</v>
      </c>
      <c r="D367" s="23"/>
      <c r="E367" s="42"/>
      <c r="F367" s="43"/>
      <c r="G367" s="42"/>
      <c r="H367" s="43"/>
      <c r="I367" s="25" t="s">
        <v>15</v>
      </c>
      <c r="J367" s="34" t="str">
        <f>IF(E367="","",raw_data!C359)</f>
        <v/>
      </c>
      <c r="K367" s="46"/>
      <c r="L367" s="87"/>
      <c r="M367" s="19" t="str">
        <f>IF(E367="","",raw_data!F359)</f>
        <v/>
      </c>
      <c r="N367" s="20" t="str">
        <f t="shared" si="16"/>
        <v/>
      </c>
      <c r="O367" s="90"/>
      <c r="P367" s="91"/>
      <c r="Q367" s="91"/>
      <c r="R367" s="91"/>
      <c r="S367" s="41" t="str">
        <f t="shared" si="15"/>
        <v/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2.75" customHeight="1" x14ac:dyDescent="0.2">
      <c r="A368" s="9">
        <v>19066</v>
      </c>
      <c r="B368" s="9" t="s">
        <v>82</v>
      </c>
      <c r="C368" s="9" t="s">
        <v>241</v>
      </c>
      <c r="D368" s="23"/>
      <c r="E368" s="42"/>
      <c r="F368" s="43"/>
      <c r="G368" s="42"/>
      <c r="H368" s="43"/>
      <c r="I368" s="25" t="s">
        <v>15</v>
      </c>
      <c r="J368" s="34" t="str">
        <f>IF(E368="","",raw_data!C360)</f>
        <v/>
      </c>
      <c r="K368" s="46"/>
      <c r="L368" s="87"/>
      <c r="M368" s="19" t="str">
        <f>IF(E368="","",raw_data!F360)</f>
        <v/>
      </c>
      <c r="N368" s="20" t="str">
        <f t="shared" si="16"/>
        <v/>
      </c>
      <c r="O368" s="90"/>
      <c r="P368" s="91"/>
      <c r="Q368" s="91"/>
      <c r="R368" s="91"/>
      <c r="S368" s="41" t="str">
        <f t="shared" si="15"/>
        <v/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2.75" customHeight="1" x14ac:dyDescent="0.2">
      <c r="A369" s="9">
        <v>19067</v>
      </c>
      <c r="B369" s="9" t="s">
        <v>82</v>
      </c>
      <c r="C369" s="9" t="s">
        <v>79</v>
      </c>
      <c r="D369" s="23"/>
      <c r="E369" s="42"/>
      <c r="F369" s="43"/>
      <c r="G369" s="42"/>
      <c r="H369" s="43"/>
      <c r="I369" s="25" t="s">
        <v>15</v>
      </c>
      <c r="J369" s="34" t="str">
        <f>IF(E369="","",raw_data!C361)</f>
        <v/>
      </c>
      <c r="K369" s="46"/>
      <c r="L369" s="87"/>
      <c r="M369" s="19" t="str">
        <f>IF(E369="","",raw_data!F361)</f>
        <v/>
      </c>
      <c r="N369" s="20" t="str">
        <f t="shared" si="16"/>
        <v/>
      </c>
      <c r="O369" s="90"/>
      <c r="P369" s="91"/>
      <c r="Q369" s="91"/>
      <c r="R369" s="91"/>
      <c r="S369" s="41" t="str">
        <f t="shared" si="15"/>
        <v/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2.75" customHeight="1" x14ac:dyDescent="0.2">
      <c r="A370" s="9">
        <v>19068</v>
      </c>
      <c r="B370" s="9" t="s">
        <v>82</v>
      </c>
      <c r="C370" s="9" t="s">
        <v>242</v>
      </c>
      <c r="D370" s="23"/>
      <c r="E370" s="42"/>
      <c r="F370" s="43"/>
      <c r="G370" s="42"/>
      <c r="H370" s="43"/>
      <c r="I370" s="25" t="s">
        <v>15</v>
      </c>
      <c r="J370" s="34" t="str">
        <f>IF(E370="","",raw_data!C362)</f>
        <v/>
      </c>
      <c r="K370" s="46"/>
      <c r="L370" s="87"/>
      <c r="M370" s="19" t="str">
        <f>IF(E370="","",raw_data!F362)</f>
        <v/>
      </c>
      <c r="N370" s="20" t="str">
        <f t="shared" si="16"/>
        <v/>
      </c>
      <c r="O370" s="90"/>
      <c r="P370" s="91"/>
      <c r="Q370" s="91"/>
      <c r="R370" s="91"/>
      <c r="S370" s="41" t="str">
        <f t="shared" si="15"/>
        <v/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2.75" customHeight="1" x14ac:dyDescent="0.2">
      <c r="A371" s="9">
        <v>19069</v>
      </c>
      <c r="B371" s="9" t="s">
        <v>82</v>
      </c>
      <c r="C371" s="9" t="s">
        <v>80</v>
      </c>
      <c r="D371" s="23"/>
      <c r="E371" s="42"/>
      <c r="F371" s="43"/>
      <c r="G371" s="42"/>
      <c r="H371" s="43"/>
      <c r="I371" s="25" t="s">
        <v>15</v>
      </c>
      <c r="J371" s="34" t="str">
        <f>IF(E371="","",raw_data!C363)</f>
        <v/>
      </c>
      <c r="K371" s="46"/>
      <c r="L371" s="87"/>
      <c r="M371" s="19" t="str">
        <f>IF(E371="","",raw_data!F363)</f>
        <v/>
      </c>
      <c r="N371" s="20" t="str">
        <f t="shared" si="16"/>
        <v/>
      </c>
      <c r="O371" s="90"/>
      <c r="P371" s="91"/>
      <c r="Q371" s="91"/>
      <c r="R371" s="91"/>
      <c r="S371" s="41" t="str">
        <f t="shared" si="15"/>
        <v/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2.75" customHeight="1" x14ac:dyDescent="0.2">
      <c r="A372" s="9">
        <v>19070</v>
      </c>
      <c r="B372" s="9" t="s">
        <v>82</v>
      </c>
      <c r="C372" s="9" t="s">
        <v>81</v>
      </c>
      <c r="D372" s="23"/>
      <c r="E372" s="42"/>
      <c r="F372" s="43"/>
      <c r="G372" s="42"/>
      <c r="H372" s="43"/>
      <c r="I372" s="25" t="s">
        <v>15</v>
      </c>
      <c r="J372" s="34" t="str">
        <f>IF(E372="","",raw_data!C364)</f>
        <v/>
      </c>
      <c r="K372" s="46"/>
      <c r="L372" s="87"/>
      <c r="M372" s="19" t="str">
        <f>IF(E372="","",raw_data!F364)</f>
        <v/>
      </c>
      <c r="N372" s="20" t="str">
        <f t="shared" si="16"/>
        <v/>
      </c>
      <c r="O372" s="90"/>
      <c r="P372" s="91"/>
      <c r="Q372" s="91"/>
      <c r="R372" s="91"/>
      <c r="S372" s="41" t="str">
        <f t="shared" si="15"/>
        <v/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2.75" customHeight="1" x14ac:dyDescent="0.2">
      <c r="A373" s="9">
        <v>19071</v>
      </c>
      <c r="B373" s="9" t="s">
        <v>82</v>
      </c>
      <c r="C373" s="9" t="s">
        <v>193</v>
      </c>
      <c r="D373" s="23"/>
      <c r="E373" s="42"/>
      <c r="F373" s="43"/>
      <c r="G373" s="42"/>
      <c r="H373" s="43"/>
      <c r="I373" s="25" t="s">
        <v>15</v>
      </c>
      <c r="J373" s="34" t="str">
        <f>IF(E373="","",raw_data!C365)</f>
        <v/>
      </c>
      <c r="K373" s="46"/>
      <c r="L373" s="87"/>
      <c r="M373" s="19" t="str">
        <f>IF(E373="","",raw_data!F365)</f>
        <v/>
      </c>
      <c r="N373" s="20" t="str">
        <f t="shared" si="16"/>
        <v/>
      </c>
      <c r="O373" s="90"/>
      <c r="P373" s="91"/>
      <c r="Q373" s="91"/>
      <c r="R373" s="91"/>
      <c r="S373" s="41" t="str">
        <f t="shared" si="15"/>
        <v/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2.75" customHeight="1" x14ac:dyDescent="0.2">
      <c r="A374" s="9">
        <v>19072</v>
      </c>
      <c r="B374" s="9" t="s">
        <v>82</v>
      </c>
      <c r="C374" s="9" t="s">
        <v>56</v>
      </c>
      <c r="D374" s="23"/>
      <c r="E374" s="42"/>
      <c r="F374" s="43"/>
      <c r="G374" s="42"/>
      <c r="H374" s="43"/>
      <c r="I374" s="25" t="s">
        <v>15</v>
      </c>
      <c r="J374" s="34" t="str">
        <f>IF(E374="","",raw_data!C366)</f>
        <v/>
      </c>
      <c r="K374" s="46"/>
      <c r="L374" s="87"/>
      <c r="M374" s="19" t="str">
        <f>IF(E374="","",raw_data!F366)</f>
        <v/>
      </c>
      <c r="N374" s="20" t="str">
        <f t="shared" si="16"/>
        <v/>
      </c>
      <c r="O374" s="90"/>
      <c r="P374" s="91"/>
      <c r="Q374" s="91"/>
      <c r="R374" s="91"/>
      <c r="S374" s="41" t="str">
        <f t="shared" si="15"/>
        <v/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2.75" customHeight="1" x14ac:dyDescent="0.2">
      <c r="A375" s="9">
        <v>19073</v>
      </c>
      <c r="B375" s="9" t="s">
        <v>83</v>
      </c>
      <c r="C375" s="9" t="s">
        <v>77</v>
      </c>
      <c r="D375" s="23"/>
      <c r="E375" s="42"/>
      <c r="F375" s="43"/>
      <c r="G375" s="42"/>
      <c r="H375" s="43"/>
      <c r="I375" s="25" t="s">
        <v>15</v>
      </c>
      <c r="J375" s="34" t="str">
        <f>IF(E375="","",raw_data!C367)</f>
        <v/>
      </c>
      <c r="K375" s="46"/>
      <c r="L375" s="87"/>
      <c r="M375" s="19" t="str">
        <f>IF(E375="","",raw_data!F367)</f>
        <v/>
      </c>
      <c r="N375" s="20" t="str">
        <f t="shared" si="16"/>
        <v/>
      </c>
      <c r="O375" s="90"/>
      <c r="P375" s="91"/>
      <c r="Q375" s="91"/>
      <c r="R375" s="91"/>
      <c r="S375" s="41" t="str">
        <f t="shared" si="15"/>
        <v/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2.75" customHeight="1" x14ac:dyDescent="0.2">
      <c r="A376" s="9">
        <v>19074</v>
      </c>
      <c r="B376" s="9" t="s">
        <v>83</v>
      </c>
      <c r="C376" s="9" t="s">
        <v>249</v>
      </c>
      <c r="D376" s="23"/>
      <c r="E376" s="42"/>
      <c r="F376" s="43"/>
      <c r="G376" s="42"/>
      <c r="H376" s="43"/>
      <c r="I376" s="25" t="s">
        <v>15</v>
      </c>
      <c r="J376" s="34" t="str">
        <f>IF(E376="","",raw_data!C368)</f>
        <v/>
      </c>
      <c r="K376" s="46"/>
      <c r="L376" s="87"/>
      <c r="M376" s="19" t="str">
        <f>IF(E376="","",raw_data!F368)</f>
        <v/>
      </c>
      <c r="N376" s="20" t="str">
        <f t="shared" si="16"/>
        <v/>
      </c>
      <c r="O376" s="90"/>
      <c r="P376" s="91"/>
      <c r="Q376" s="91"/>
      <c r="R376" s="91"/>
      <c r="S376" s="41" t="str">
        <f t="shared" si="15"/>
        <v/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2.75" customHeight="1" x14ac:dyDescent="0.2">
      <c r="A377" s="9">
        <v>19075</v>
      </c>
      <c r="B377" s="9" t="s">
        <v>83</v>
      </c>
      <c r="C377" s="9" t="s">
        <v>84</v>
      </c>
      <c r="D377" s="23"/>
      <c r="E377" s="42"/>
      <c r="F377" s="43"/>
      <c r="G377" s="42"/>
      <c r="H377" s="43"/>
      <c r="I377" s="25" t="s">
        <v>15</v>
      </c>
      <c r="J377" s="34" t="str">
        <f>IF(E377="","",raw_data!C369)</f>
        <v/>
      </c>
      <c r="K377" s="46"/>
      <c r="L377" s="87"/>
      <c r="M377" s="19" t="str">
        <f>IF(E377="","",raw_data!F369)</f>
        <v/>
      </c>
      <c r="N377" s="20" t="str">
        <f t="shared" si="16"/>
        <v/>
      </c>
      <c r="O377" s="90"/>
      <c r="P377" s="91"/>
      <c r="Q377" s="91"/>
      <c r="R377" s="91"/>
      <c r="S377" s="41" t="str">
        <f t="shared" si="15"/>
        <v/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2.75" customHeight="1" x14ac:dyDescent="0.2">
      <c r="A378" s="9">
        <v>19076</v>
      </c>
      <c r="B378" s="9" t="s">
        <v>83</v>
      </c>
      <c r="C378" s="9" t="s">
        <v>85</v>
      </c>
      <c r="D378" s="23"/>
      <c r="E378" s="42"/>
      <c r="F378" s="43"/>
      <c r="G378" s="42"/>
      <c r="H378" s="43"/>
      <c r="I378" s="25" t="s">
        <v>15</v>
      </c>
      <c r="J378" s="34" t="str">
        <f>IF(E378="","",raw_data!C370)</f>
        <v/>
      </c>
      <c r="K378" s="46"/>
      <c r="L378" s="87"/>
      <c r="M378" s="19" t="str">
        <f>IF(E378="","",raw_data!F370)</f>
        <v/>
      </c>
      <c r="N378" s="20" t="str">
        <f t="shared" si="16"/>
        <v/>
      </c>
      <c r="O378" s="90"/>
      <c r="P378" s="91"/>
      <c r="Q378" s="91"/>
      <c r="R378" s="91"/>
      <c r="S378" s="41" t="str">
        <f t="shared" si="15"/>
        <v/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2.75" customHeight="1" x14ac:dyDescent="0.2">
      <c r="A379" s="9">
        <v>19077</v>
      </c>
      <c r="B379" s="9" t="s">
        <v>83</v>
      </c>
      <c r="C379" s="9" t="s">
        <v>19</v>
      </c>
      <c r="D379" s="23"/>
      <c r="E379" s="42"/>
      <c r="F379" s="43"/>
      <c r="G379" s="42"/>
      <c r="H379" s="43"/>
      <c r="I379" s="25" t="s">
        <v>15</v>
      </c>
      <c r="J379" s="34" t="str">
        <f>IF(E379="","",raw_data!C371)</f>
        <v/>
      </c>
      <c r="K379" s="46"/>
      <c r="L379" s="87"/>
      <c r="M379" s="19" t="str">
        <f>IF(E379="","",raw_data!F371)</f>
        <v/>
      </c>
      <c r="N379" s="20" t="str">
        <f t="shared" si="16"/>
        <v/>
      </c>
      <c r="O379" s="90"/>
      <c r="P379" s="91"/>
      <c r="Q379" s="91"/>
      <c r="R379" s="91"/>
      <c r="S379" s="41" t="str">
        <f t="shared" si="15"/>
        <v/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2.75" customHeight="1" x14ac:dyDescent="0.2">
      <c r="A380" s="9">
        <v>19078</v>
      </c>
      <c r="B380" s="9" t="s">
        <v>83</v>
      </c>
      <c r="C380" s="9" t="s">
        <v>250</v>
      </c>
      <c r="D380" s="23"/>
      <c r="E380" s="42"/>
      <c r="F380" s="43"/>
      <c r="G380" s="42"/>
      <c r="H380" s="43"/>
      <c r="I380" s="25" t="s">
        <v>15</v>
      </c>
      <c r="J380" s="34" t="str">
        <f>IF(E380="","",raw_data!C372)</f>
        <v/>
      </c>
      <c r="K380" s="46"/>
      <c r="L380" s="87"/>
      <c r="M380" s="19" t="str">
        <f>IF(E380="","",raw_data!F372)</f>
        <v/>
      </c>
      <c r="N380" s="20" t="str">
        <f t="shared" si="16"/>
        <v/>
      </c>
      <c r="O380" s="90"/>
      <c r="P380" s="91"/>
      <c r="Q380" s="91"/>
      <c r="R380" s="91"/>
      <c r="S380" s="41" t="str">
        <f t="shared" si="15"/>
        <v/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2.75" customHeight="1" x14ac:dyDescent="0.2">
      <c r="A381" s="9">
        <v>19079</v>
      </c>
      <c r="B381" s="9" t="s">
        <v>83</v>
      </c>
      <c r="C381" s="9" t="s">
        <v>251</v>
      </c>
      <c r="D381" s="23"/>
      <c r="E381" s="42"/>
      <c r="F381" s="43"/>
      <c r="G381" s="42"/>
      <c r="H381" s="43"/>
      <c r="I381" s="25" t="s">
        <v>15</v>
      </c>
      <c r="J381" s="34" t="str">
        <f>IF(E381="","",raw_data!C373)</f>
        <v/>
      </c>
      <c r="K381" s="46"/>
      <c r="L381" s="87"/>
      <c r="M381" s="19" t="str">
        <f>IF(E381="","",raw_data!F373)</f>
        <v/>
      </c>
      <c r="N381" s="20" t="str">
        <f t="shared" si="16"/>
        <v/>
      </c>
      <c r="O381" s="90"/>
      <c r="P381" s="91"/>
      <c r="Q381" s="91"/>
      <c r="R381" s="91"/>
      <c r="S381" s="41" t="str">
        <f t="shared" si="15"/>
        <v/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2.75" customHeight="1" x14ac:dyDescent="0.2">
      <c r="A382" s="9">
        <v>19080</v>
      </c>
      <c r="B382" s="9" t="s">
        <v>83</v>
      </c>
      <c r="C382" s="9" t="s">
        <v>240</v>
      </c>
      <c r="D382" s="23"/>
      <c r="E382" s="42"/>
      <c r="F382" s="43"/>
      <c r="G382" s="42"/>
      <c r="H382" s="43"/>
      <c r="I382" s="25" t="s">
        <v>15</v>
      </c>
      <c r="J382" s="34" t="str">
        <f>IF(E382="","",raw_data!C374)</f>
        <v/>
      </c>
      <c r="K382" s="46"/>
      <c r="L382" s="87"/>
      <c r="M382" s="19" t="str">
        <f>IF(E382="","",raw_data!F374)</f>
        <v/>
      </c>
      <c r="N382" s="20" t="str">
        <f t="shared" si="16"/>
        <v/>
      </c>
      <c r="O382" s="90"/>
      <c r="P382" s="91"/>
      <c r="Q382" s="91"/>
      <c r="R382" s="91"/>
      <c r="S382" s="41" t="str">
        <f t="shared" si="15"/>
        <v/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2.75" customHeight="1" x14ac:dyDescent="0.2">
      <c r="A383" s="9">
        <v>19081</v>
      </c>
      <c r="B383" s="9" t="s">
        <v>83</v>
      </c>
      <c r="C383" s="9" t="s">
        <v>160</v>
      </c>
      <c r="D383" s="23"/>
      <c r="E383" s="42"/>
      <c r="F383" s="43"/>
      <c r="G383" s="42"/>
      <c r="H383" s="43"/>
      <c r="I383" s="25" t="s">
        <v>15</v>
      </c>
      <c r="J383" s="34" t="str">
        <f>IF(E383="","",raw_data!C375)</f>
        <v/>
      </c>
      <c r="K383" s="46"/>
      <c r="L383" s="87"/>
      <c r="M383" s="19" t="str">
        <f>IF(E383="","",raw_data!F375)</f>
        <v/>
      </c>
      <c r="N383" s="20" t="str">
        <f t="shared" si="16"/>
        <v/>
      </c>
      <c r="O383" s="90"/>
      <c r="P383" s="91"/>
      <c r="Q383" s="91"/>
      <c r="R383" s="91"/>
      <c r="S383" s="41" t="str">
        <f t="shared" si="15"/>
        <v/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2.75" customHeight="1" x14ac:dyDescent="0.2">
      <c r="A384" s="9">
        <v>19082</v>
      </c>
      <c r="B384" s="9" t="s">
        <v>83</v>
      </c>
      <c r="C384" s="9" t="s">
        <v>161</v>
      </c>
      <c r="D384" s="23"/>
      <c r="E384" s="42"/>
      <c r="F384" s="43"/>
      <c r="G384" s="42"/>
      <c r="H384" s="43"/>
      <c r="I384" s="25" t="s">
        <v>15</v>
      </c>
      <c r="J384" s="34" t="str">
        <f>IF(E384="","",raw_data!C376)</f>
        <v/>
      </c>
      <c r="K384" s="46"/>
      <c r="L384" s="87"/>
      <c r="M384" s="19" t="str">
        <f>IF(E384="","",raw_data!F376)</f>
        <v/>
      </c>
      <c r="N384" s="20" t="str">
        <f t="shared" si="16"/>
        <v/>
      </c>
      <c r="O384" s="90"/>
      <c r="P384" s="91"/>
      <c r="Q384" s="91"/>
      <c r="R384" s="91"/>
      <c r="S384" s="41" t="str">
        <f t="shared" si="15"/>
        <v/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2.75" customHeight="1" x14ac:dyDescent="0.2">
      <c r="A385" s="9">
        <v>19083</v>
      </c>
      <c r="B385" s="9" t="s">
        <v>83</v>
      </c>
      <c r="C385" s="9" t="s">
        <v>252</v>
      </c>
      <c r="D385" s="23"/>
      <c r="E385" s="42"/>
      <c r="F385" s="43"/>
      <c r="G385" s="42"/>
      <c r="H385" s="43"/>
      <c r="I385" s="25" t="s">
        <v>15</v>
      </c>
      <c r="J385" s="34" t="str">
        <f>IF(E385="","",raw_data!C377)</f>
        <v/>
      </c>
      <c r="K385" s="46"/>
      <c r="L385" s="87"/>
      <c r="M385" s="19" t="str">
        <f>IF(E385="","",raw_data!F377)</f>
        <v/>
      </c>
      <c r="N385" s="20" t="str">
        <f t="shared" si="16"/>
        <v/>
      </c>
      <c r="O385" s="90"/>
      <c r="P385" s="91"/>
      <c r="Q385" s="91"/>
      <c r="R385" s="91"/>
      <c r="S385" s="41" t="str">
        <f t="shared" si="15"/>
        <v/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2.75" customHeight="1" x14ac:dyDescent="0.2">
      <c r="A386" s="9">
        <v>19084</v>
      </c>
      <c r="B386" s="9" t="s">
        <v>83</v>
      </c>
      <c r="C386" s="9" t="s">
        <v>86</v>
      </c>
      <c r="D386" s="23"/>
      <c r="E386" s="42"/>
      <c r="F386" s="43"/>
      <c r="G386" s="42"/>
      <c r="H386" s="43"/>
      <c r="I386" s="25" t="s">
        <v>15</v>
      </c>
      <c r="J386" s="34" t="str">
        <f>IF(E386="","",raw_data!C378)</f>
        <v/>
      </c>
      <c r="K386" s="46"/>
      <c r="L386" s="87"/>
      <c r="M386" s="19" t="str">
        <f>IF(E386="","",raw_data!F378)</f>
        <v/>
      </c>
      <c r="N386" s="20" t="str">
        <f t="shared" si="16"/>
        <v/>
      </c>
      <c r="O386" s="90"/>
      <c r="P386" s="91"/>
      <c r="Q386" s="91"/>
      <c r="R386" s="91"/>
      <c r="S386" s="41" t="str">
        <f t="shared" si="15"/>
        <v/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2.75" customHeight="1" x14ac:dyDescent="0.2">
      <c r="A387" s="9">
        <v>19085</v>
      </c>
      <c r="B387" s="9" t="s">
        <v>83</v>
      </c>
      <c r="C387" s="9" t="s">
        <v>87</v>
      </c>
      <c r="D387" s="23"/>
      <c r="E387" s="42"/>
      <c r="F387" s="43"/>
      <c r="G387" s="42"/>
      <c r="H387" s="43"/>
      <c r="I387" s="25" t="s">
        <v>15</v>
      </c>
      <c r="J387" s="34" t="str">
        <f>IF(E387="","",raw_data!C379)</f>
        <v/>
      </c>
      <c r="K387" s="46"/>
      <c r="L387" s="87"/>
      <c r="M387" s="19" t="str">
        <f>IF(E387="","",raw_data!F379)</f>
        <v/>
      </c>
      <c r="N387" s="20" t="str">
        <f t="shared" si="16"/>
        <v/>
      </c>
      <c r="O387" s="90"/>
      <c r="P387" s="91"/>
      <c r="Q387" s="91"/>
      <c r="R387" s="91"/>
      <c r="S387" s="41" t="str">
        <f t="shared" si="15"/>
        <v/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2.75" customHeight="1" x14ac:dyDescent="0.2">
      <c r="A388" s="9">
        <v>19086</v>
      </c>
      <c r="B388" s="9" t="s">
        <v>83</v>
      </c>
      <c r="C388" s="9" t="s">
        <v>88</v>
      </c>
      <c r="D388" s="23"/>
      <c r="E388" s="42"/>
      <c r="F388" s="43"/>
      <c r="G388" s="42"/>
      <c r="H388" s="43"/>
      <c r="I388" s="25" t="s">
        <v>15</v>
      </c>
      <c r="J388" s="34" t="str">
        <f>IF(E388="","",raw_data!C380)</f>
        <v/>
      </c>
      <c r="K388" s="46"/>
      <c r="L388" s="87"/>
      <c r="M388" s="19" t="str">
        <f>IF(E388="","",raw_data!F380)</f>
        <v/>
      </c>
      <c r="N388" s="20" t="str">
        <f t="shared" si="16"/>
        <v/>
      </c>
      <c r="O388" s="90"/>
      <c r="P388" s="91"/>
      <c r="Q388" s="91"/>
      <c r="R388" s="91"/>
      <c r="S388" s="41" t="str">
        <f t="shared" si="15"/>
        <v/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2.75" customHeight="1" x14ac:dyDescent="0.2">
      <c r="A389" s="9">
        <v>19087</v>
      </c>
      <c r="B389" s="9" t="s">
        <v>83</v>
      </c>
      <c r="C389" s="9" t="s">
        <v>89</v>
      </c>
      <c r="D389" s="23"/>
      <c r="E389" s="42"/>
      <c r="F389" s="43"/>
      <c r="G389" s="42"/>
      <c r="H389" s="43"/>
      <c r="I389" s="25" t="s">
        <v>15</v>
      </c>
      <c r="J389" s="34" t="str">
        <f>IF(E389="","",raw_data!C381)</f>
        <v/>
      </c>
      <c r="K389" s="46"/>
      <c r="L389" s="87"/>
      <c r="M389" s="19" t="str">
        <f>IF(E389="","",raw_data!F381)</f>
        <v/>
      </c>
      <c r="N389" s="20" t="str">
        <f t="shared" si="16"/>
        <v/>
      </c>
      <c r="O389" s="90"/>
      <c r="P389" s="91"/>
      <c r="Q389" s="91"/>
      <c r="R389" s="91"/>
      <c r="S389" s="41" t="str">
        <f t="shared" si="15"/>
        <v/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2.75" customHeight="1" x14ac:dyDescent="0.2">
      <c r="A390" s="9">
        <v>19088</v>
      </c>
      <c r="B390" s="9" t="s">
        <v>83</v>
      </c>
      <c r="C390" s="9" t="s">
        <v>90</v>
      </c>
      <c r="D390" s="23"/>
      <c r="E390" s="42"/>
      <c r="F390" s="43"/>
      <c r="G390" s="42"/>
      <c r="H390" s="43"/>
      <c r="I390" s="25" t="s">
        <v>15</v>
      </c>
      <c r="J390" s="34" t="str">
        <f>IF(E390="","",raw_data!C382)</f>
        <v/>
      </c>
      <c r="K390" s="46"/>
      <c r="L390" s="87"/>
      <c r="M390" s="19" t="str">
        <f>IF(E390="","",raw_data!F382)</f>
        <v/>
      </c>
      <c r="N390" s="20" t="str">
        <f t="shared" si="16"/>
        <v/>
      </c>
      <c r="O390" s="90"/>
      <c r="P390" s="91"/>
      <c r="Q390" s="91"/>
      <c r="R390" s="91"/>
      <c r="S390" s="41" t="str">
        <f t="shared" si="15"/>
        <v/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2.75" customHeight="1" x14ac:dyDescent="0.2">
      <c r="A391" s="9">
        <v>19089</v>
      </c>
      <c r="B391" s="9" t="s">
        <v>83</v>
      </c>
      <c r="C391" s="9" t="s">
        <v>91</v>
      </c>
      <c r="D391" s="23"/>
      <c r="E391" s="42"/>
      <c r="F391" s="43"/>
      <c r="G391" s="42"/>
      <c r="H391" s="43"/>
      <c r="I391" s="25" t="s">
        <v>15</v>
      </c>
      <c r="J391" s="34" t="str">
        <f>IF(E391="","",raw_data!C383)</f>
        <v/>
      </c>
      <c r="K391" s="46"/>
      <c r="L391" s="87"/>
      <c r="M391" s="19" t="str">
        <f>IF(E391="","",raw_data!F383)</f>
        <v/>
      </c>
      <c r="N391" s="20" t="str">
        <f t="shared" si="16"/>
        <v/>
      </c>
      <c r="O391" s="90"/>
      <c r="P391" s="91"/>
      <c r="Q391" s="91"/>
      <c r="R391" s="91"/>
      <c r="S391" s="41" t="str">
        <f t="shared" si="15"/>
        <v/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2.75" customHeight="1" x14ac:dyDescent="0.2">
      <c r="A392" s="9">
        <v>19090</v>
      </c>
      <c r="B392" s="9" t="s">
        <v>83</v>
      </c>
      <c r="C392" s="9" t="s">
        <v>253</v>
      </c>
      <c r="D392" s="23"/>
      <c r="E392" s="42"/>
      <c r="F392" s="43"/>
      <c r="G392" s="42"/>
      <c r="H392" s="43"/>
      <c r="I392" s="25" t="s">
        <v>15</v>
      </c>
      <c r="J392" s="34" t="str">
        <f>IF(E392="","",raw_data!C384)</f>
        <v/>
      </c>
      <c r="K392" s="46"/>
      <c r="L392" s="87"/>
      <c r="M392" s="19" t="str">
        <f>IF(E392="","",raw_data!F384)</f>
        <v/>
      </c>
      <c r="N392" s="20" t="str">
        <f t="shared" si="16"/>
        <v/>
      </c>
      <c r="O392" s="90"/>
      <c r="P392" s="91"/>
      <c r="Q392" s="91"/>
      <c r="R392" s="91"/>
      <c r="S392" s="41" t="str">
        <f t="shared" si="15"/>
        <v/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2.75" customHeight="1" x14ac:dyDescent="0.2">
      <c r="A393" s="9">
        <v>19091</v>
      </c>
      <c r="B393" s="9" t="s">
        <v>83</v>
      </c>
      <c r="C393" s="9" t="s">
        <v>254</v>
      </c>
      <c r="D393" s="23"/>
      <c r="E393" s="42"/>
      <c r="F393" s="43"/>
      <c r="G393" s="42"/>
      <c r="H393" s="43"/>
      <c r="I393" s="25" t="s">
        <v>15</v>
      </c>
      <c r="J393" s="34" t="str">
        <f>IF(E393="","",raw_data!C385)</f>
        <v/>
      </c>
      <c r="K393" s="46"/>
      <c r="L393" s="87"/>
      <c r="M393" s="19" t="str">
        <f>IF(E393="","",raw_data!F385)</f>
        <v/>
      </c>
      <c r="N393" s="20" t="str">
        <f t="shared" si="16"/>
        <v/>
      </c>
      <c r="O393" s="90"/>
      <c r="P393" s="91"/>
      <c r="Q393" s="91"/>
      <c r="R393" s="91"/>
      <c r="S393" s="41" t="str">
        <f t="shared" si="15"/>
        <v/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2.75" customHeight="1" x14ac:dyDescent="0.2">
      <c r="A394" s="9">
        <v>19092</v>
      </c>
      <c r="B394" s="9" t="s">
        <v>83</v>
      </c>
      <c r="C394" s="9" t="s">
        <v>255</v>
      </c>
      <c r="D394" s="23"/>
      <c r="E394" s="42"/>
      <c r="F394" s="43"/>
      <c r="G394" s="42"/>
      <c r="H394" s="43"/>
      <c r="I394" s="25" t="s">
        <v>15</v>
      </c>
      <c r="J394" s="34" t="str">
        <f>IF(E394="","",raw_data!C386)</f>
        <v/>
      </c>
      <c r="K394" s="46"/>
      <c r="L394" s="87"/>
      <c r="M394" s="19" t="str">
        <f>IF(E394="","",raw_data!F386)</f>
        <v/>
      </c>
      <c r="N394" s="20" t="str">
        <f t="shared" si="16"/>
        <v/>
      </c>
      <c r="O394" s="90"/>
      <c r="P394" s="91"/>
      <c r="Q394" s="91"/>
      <c r="R394" s="91"/>
      <c r="S394" s="41" t="str">
        <f t="shared" ref="S394:S457" si="17">IF(E394="","",IF(OR(NOT(ISNUMBER(N394)),N394&lt;=(1-E394)),"erfüllt",IF(G394="Fehler","mit Fehler",IF(G394="Warnung","mit Warnung",""))))</f>
        <v/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2.75" customHeight="1" x14ac:dyDescent="0.2">
      <c r="A395" s="9">
        <v>19093</v>
      </c>
      <c r="B395" s="9" t="s">
        <v>83</v>
      </c>
      <c r="C395" s="9" t="s">
        <v>62</v>
      </c>
      <c r="D395" s="23"/>
      <c r="E395" s="42"/>
      <c r="F395" s="43"/>
      <c r="G395" s="42"/>
      <c r="H395" s="43"/>
      <c r="I395" s="25" t="s">
        <v>15</v>
      </c>
      <c r="J395" s="34" t="str">
        <f>IF(E395="","",raw_data!C387)</f>
        <v/>
      </c>
      <c r="K395" s="46"/>
      <c r="L395" s="87"/>
      <c r="M395" s="19" t="str">
        <f>IF(E395="","",raw_data!F387)</f>
        <v/>
      </c>
      <c r="N395" s="20" t="str">
        <f t="shared" ref="N395:N458" si="18">IF(E395="","",IFERROR(M395/J395,"-"))</f>
        <v/>
      </c>
      <c r="O395" s="90"/>
      <c r="P395" s="91"/>
      <c r="Q395" s="91"/>
      <c r="R395" s="91"/>
      <c r="S395" s="41" t="str">
        <f t="shared" si="17"/>
        <v/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2.75" customHeight="1" x14ac:dyDescent="0.2">
      <c r="A396" s="9">
        <v>19094</v>
      </c>
      <c r="B396" s="9" t="s">
        <v>83</v>
      </c>
      <c r="C396" s="9" t="s">
        <v>346</v>
      </c>
      <c r="D396" s="23"/>
      <c r="E396" s="42"/>
      <c r="F396" s="43"/>
      <c r="G396" s="42"/>
      <c r="H396" s="43"/>
      <c r="I396" s="25" t="s">
        <v>15</v>
      </c>
      <c r="J396" s="34" t="str">
        <f>IF(E396="","",raw_data!C388)</f>
        <v/>
      </c>
      <c r="K396" s="46"/>
      <c r="L396" s="87"/>
      <c r="M396" s="19" t="str">
        <f>IF(E396="","",raw_data!F388)</f>
        <v/>
      </c>
      <c r="N396" s="20" t="str">
        <f t="shared" si="18"/>
        <v/>
      </c>
      <c r="O396" s="90"/>
      <c r="P396" s="91"/>
      <c r="Q396" s="91"/>
      <c r="R396" s="91"/>
      <c r="S396" s="41" t="str">
        <f t="shared" si="17"/>
        <v/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2.75" customHeight="1" x14ac:dyDescent="0.2">
      <c r="A397" s="9">
        <v>19095</v>
      </c>
      <c r="B397" s="9" t="s">
        <v>83</v>
      </c>
      <c r="C397" s="9" t="s">
        <v>347</v>
      </c>
      <c r="D397" s="23"/>
      <c r="E397" s="42"/>
      <c r="F397" s="43"/>
      <c r="G397" s="42"/>
      <c r="H397" s="43"/>
      <c r="I397" s="25" t="s">
        <v>15</v>
      </c>
      <c r="J397" s="34" t="str">
        <f>IF(E397="","",raw_data!C389)</f>
        <v/>
      </c>
      <c r="K397" s="46"/>
      <c r="L397" s="87"/>
      <c r="M397" s="19" t="str">
        <f>IF(E397="","",raw_data!F389)</f>
        <v/>
      </c>
      <c r="N397" s="20" t="str">
        <f t="shared" si="18"/>
        <v/>
      </c>
      <c r="O397" s="90"/>
      <c r="P397" s="91"/>
      <c r="Q397" s="91"/>
      <c r="R397" s="91"/>
      <c r="S397" s="41" t="str">
        <f t="shared" si="17"/>
        <v/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2.75" customHeight="1" x14ac:dyDescent="0.2">
      <c r="A398" s="9">
        <v>19096</v>
      </c>
      <c r="B398" s="9" t="s">
        <v>83</v>
      </c>
      <c r="C398" s="9" t="s">
        <v>348</v>
      </c>
      <c r="D398" s="23"/>
      <c r="E398" s="42"/>
      <c r="F398" s="43"/>
      <c r="G398" s="42"/>
      <c r="H398" s="43"/>
      <c r="I398" s="25" t="s">
        <v>15</v>
      </c>
      <c r="J398" s="34" t="str">
        <f>IF(E398="","",raw_data!C390)</f>
        <v/>
      </c>
      <c r="K398" s="46"/>
      <c r="L398" s="87"/>
      <c r="M398" s="19" t="str">
        <f>IF(E398="","",raw_data!F390)</f>
        <v/>
      </c>
      <c r="N398" s="20" t="str">
        <f t="shared" si="18"/>
        <v/>
      </c>
      <c r="O398" s="90"/>
      <c r="P398" s="91"/>
      <c r="Q398" s="91"/>
      <c r="R398" s="91"/>
      <c r="S398" s="41" t="str">
        <f t="shared" si="17"/>
        <v/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2.75" customHeight="1" x14ac:dyDescent="0.2">
      <c r="A399" s="9">
        <v>19097</v>
      </c>
      <c r="B399" s="9" t="s">
        <v>83</v>
      </c>
      <c r="C399" s="9" t="s">
        <v>349</v>
      </c>
      <c r="D399" s="23"/>
      <c r="E399" s="42"/>
      <c r="F399" s="43"/>
      <c r="G399" s="42"/>
      <c r="H399" s="43"/>
      <c r="I399" s="25" t="s">
        <v>15</v>
      </c>
      <c r="J399" s="34" t="str">
        <f>IF(E399="","",raw_data!C391)</f>
        <v/>
      </c>
      <c r="K399" s="46"/>
      <c r="L399" s="87"/>
      <c r="M399" s="19" t="str">
        <f>IF(E399="","",raw_data!F391)</f>
        <v/>
      </c>
      <c r="N399" s="20" t="str">
        <f t="shared" si="18"/>
        <v/>
      </c>
      <c r="O399" s="90"/>
      <c r="P399" s="91"/>
      <c r="Q399" s="91"/>
      <c r="R399" s="91"/>
      <c r="S399" s="41" t="str">
        <f t="shared" si="17"/>
        <v/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2.75" customHeight="1" x14ac:dyDescent="0.2">
      <c r="A400" s="9">
        <v>19098</v>
      </c>
      <c r="B400" s="9" t="s">
        <v>83</v>
      </c>
      <c r="C400" s="9" t="s">
        <v>350</v>
      </c>
      <c r="D400" s="23"/>
      <c r="E400" s="42"/>
      <c r="F400" s="43"/>
      <c r="G400" s="42"/>
      <c r="H400" s="43"/>
      <c r="I400" s="25" t="s">
        <v>15</v>
      </c>
      <c r="J400" s="34" t="str">
        <f>IF(E400="","",raw_data!C392)</f>
        <v/>
      </c>
      <c r="K400" s="46"/>
      <c r="L400" s="87"/>
      <c r="M400" s="19" t="str">
        <f>IF(E400="","",raw_data!F392)</f>
        <v/>
      </c>
      <c r="N400" s="20" t="str">
        <f t="shared" si="18"/>
        <v/>
      </c>
      <c r="O400" s="90"/>
      <c r="P400" s="91"/>
      <c r="Q400" s="91"/>
      <c r="R400" s="91"/>
      <c r="S400" s="41" t="str">
        <f t="shared" si="17"/>
        <v/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2.75" customHeight="1" x14ac:dyDescent="0.2">
      <c r="A401" s="9">
        <v>19099</v>
      </c>
      <c r="B401" s="9" t="s">
        <v>83</v>
      </c>
      <c r="C401" s="9" t="s">
        <v>351</v>
      </c>
      <c r="D401" s="23"/>
      <c r="E401" s="42"/>
      <c r="F401" s="43"/>
      <c r="G401" s="42"/>
      <c r="H401" s="43"/>
      <c r="I401" s="25" t="s">
        <v>15</v>
      </c>
      <c r="J401" s="34" t="str">
        <f>IF(E401="","",raw_data!C393)</f>
        <v/>
      </c>
      <c r="K401" s="46"/>
      <c r="L401" s="87"/>
      <c r="M401" s="19" t="str">
        <f>IF(E401="","",raw_data!F393)</f>
        <v/>
      </c>
      <c r="N401" s="20" t="str">
        <f t="shared" si="18"/>
        <v/>
      </c>
      <c r="O401" s="90"/>
      <c r="P401" s="91"/>
      <c r="Q401" s="91"/>
      <c r="R401" s="91"/>
      <c r="S401" s="41" t="str">
        <f t="shared" si="17"/>
        <v/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2.75" customHeight="1" x14ac:dyDescent="0.2">
      <c r="A402" s="9">
        <v>19100</v>
      </c>
      <c r="B402" s="9" t="s">
        <v>83</v>
      </c>
      <c r="C402" s="9" t="s">
        <v>352</v>
      </c>
      <c r="D402" s="23"/>
      <c r="E402" s="42"/>
      <c r="F402" s="43"/>
      <c r="G402" s="42"/>
      <c r="H402" s="43"/>
      <c r="I402" s="25" t="s">
        <v>15</v>
      </c>
      <c r="J402" s="34" t="str">
        <f>IF(E402="","",raw_data!C394)</f>
        <v/>
      </c>
      <c r="K402" s="46"/>
      <c r="L402" s="87"/>
      <c r="M402" s="19" t="str">
        <f>IF(E402="","",raw_data!F394)</f>
        <v/>
      </c>
      <c r="N402" s="20" t="str">
        <f t="shared" si="18"/>
        <v/>
      </c>
      <c r="O402" s="90"/>
      <c r="P402" s="91"/>
      <c r="Q402" s="91"/>
      <c r="R402" s="91"/>
      <c r="S402" s="41" t="str">
        <f t="shared" si="17"/>
        <v/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2.75" customHeight="1" x14ac:dyDescent="0.2">
      <c r="A403" s="9">
        <v>19101</v>
      </c>
      <c r="B403" s="9" t="s">
        <v>83</v>
      </c>
      <c r="C403" s="9" t="s">
        <v>353</v>
      </c>
      <c r="D403" s="23"/>
      <c r="E403" s="42"/>
      <c r="F403" s="43"/>
      <c r="G403" s="42"/>
      <c r="H403" s="43"/>
      <c r="I403" s="25" t="s">
        <v>15</v>
      </c>
      <c r="J403" s="34" t="str">
        <f>IF(E403="","",raw_data!C395)</f>
        <v/>
      </c>
      <c r="K403" s="46"/>
      <c r="L403" s="87"/>
      <c r="M403" s="19" t="str">
        <f>IF(E403="","",raw_data!F395)</f>
        <v/>
      </c>
      <c r="N403" s="20" t="str">
        <f t="shared" si="18"/>
        <v/>
      </c>
      <c r="O403" s="90"/>
      <c r="P403" s="91"/>
      <c r="Q403" s="91"/>
      <c r="R403" s="91"/>
      <c r="S403" s="41" t="str">
        <f t="shared" si="17"/>
        <v/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2.75" customHeight="1" x14ac:dyDescent="0.2">
      <c r="A404" s="9">
        <v>19102</v>
      </c>
      <c r="B404" s="9" t="s">
        <v>83</v>
      </c>
      <c r="C404" s="9" t="s">
        <v>354</v>
      </c>
      <c r="D404" s="23"/>
      <c r="E404" s="42"/>
      <c r="F404" s="43"/>
      <c r="G404" s="42"/>
      <c r="H404" s="43"/>
      <c r="I404" s="25" t="s">
        <v>15</v>
      </c>
      <c r="J404" s="34" t="str">
        <f>IF(E404="","",raw_data!C396)</f>
        <v/>
      </c>
      <c r="K404" s="46"/>
      <c r="L404" s="87"/>
      <c r="M404" s="19" t="str">
        <f>IF(E404="","",raw_data!F396)</f>
        <v/>
      </c>
      <c r="N404" s="20" t="str">
        <f t="shared" si="18"/>
        <v/>
      </c>
      <c r="O404" s="90"/>
      <c r="P404" s="91"/>
      <c r="Q404" s="91"/>
      <c r="R404" s="91"/>
      <c r="S404" s="41" t="str">
        <f t="shared" si="17"/>
        <v/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2.75" customHeight="1" x14ac:dyDescent="0.2">
      <c r="A405" s="9">
        <v>19103</v>
      </c>
      <c r="B405" s="9" t="s">
        <v>83</v>
      </c>
      <c r="C405" s="9" t="s">
        <v>256</v>
      </c>
      <c r="D405" s="23"/>
      <c r="E405" s="42"/>
      <c r="F405" s="43"/>
      <c r="G405" s="42"/>
      <c r="H405" s="43"/>
      <c r="I405" s="25" t="s">
        <v>15</v>
      </c>
      <c r="J405" s="34" t="str">
        <f>IF(E405="","",raw_data!C397)</f>
        <v/>
      </c>
      <c r="K405" s="46"/>
      <c r="L405" s="87"/>
      <c r="M405" s="19" t="str">
        <f>IF(E405="","",raw_data!F397)</f>
        <v/>
      </c>
      <c r="N405" s="20" t="str">
        <f t="shared" si="18"/>
        <v/>
      </c>
      <c r="O405" s="90"/>
      <c r="P405" s="91"/>
      <c r="Q405" s="91"/>
      <c r="R405" s="91"/>
      <c r="S405" s="41" t="str">
        <f t="shared" si="17"/>
        <v/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2.75" customHeight="1" x14ac:dyDescent="0.2">
      <c r="A406" s="9">
        <v>19104</v>
      </c>
      <c r="B406" s="9" t="s">
        <v>83</v>
      </c>
      <c r="C406" s="9" t="s">
        <v>78</v>
      </c>
      <c r="D406" s="23"/>
      <c r="E406" s="42"/>
      <c r="F406" s="43"/>
      <c r="G406" s="42"/>
      <c r="H406" s="43"/>
      <c r="I406" s="25" t="s">
        <v>15</v>
      </c>
      <c r="J406" s="34" t="str">
        <f>IF(E406="","",raw_data!C398)</f>
        <v/>
      </c>
      <c r="K406" s="46"/>
      <c r="L406" s="87"/>
      <c r="M406" s="19" t="str">
        <f>IF(E406="","",raw_data!F398)</f>
        <v/>
      </c>
      <c r="N406" s="20" t="str">
        <f t="shared" si="18"/>
        <v/>
      </c>
      <c r="O406" s="90"/>
      <c r="P406" s="91"/>
      <c r="Q406" s="91"/>
      <c r="R406" s="91"/>
      <c r="S406" s="41" t="str">
        <f t="shared" si="17"/>
        <v/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2.75" customHeight="1" x14ac:dyDescent="0.2">
      <c r="A407" s="9">
        <v>19105</v>
      </c>
      <c r="B407" s="9" t="s">
        <v>83</v>
      </c>
      <c r="C407" s="9" t="s">
        <v>162</v>
      </c>
      <c r="D407" s="23"/>
      <c r="E407" s="42"/>
      <c r="F407" s="43"/>
      <c r="G407" s="42"/>
      <c r="H407" s="43"/>
      <c r="I407" s="25" t="s">
        <v>15</v>
      </c>
      <c r="J407" s="34" t="str">
        <f>IF(E407="","",raw_data!C399)</f>
        <v/>
      </c>
      <c r="K407" s="46"/>
      <c r="L407" s="87"/>
      <c r="M407" s="19" t="str">
        <f>IF(E407="","",raw_data!F399)</f>
        <v/>
      </c>
      <c r="N407" s="20" t="str">
        <f t="shared" si="18"/>
        <v/>
      </c>
      <c r="O407" s="90"/>
      <c r="P407" s="91"/>
      <c r="Q407" s="91"/>
      <c r="R407" s="91"/>
      <c r="S407" s="41" t="str">
        <f t="shared" si="17"/>
        <v/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2.75" customHeight="1" x14ac:dyDescent="0.2">
      <c r="A408" s="9">
        <v>19106</v>
      </c>
      <c r="B408" s="9" t="s">
        <v>83</v>
      </c>
      <c r="C408" s="9" t="s">
        <v>355</v>
      </c>
      <c r="D408" s="23"/>
      <c r="E408" s="42"/>
      <c r="F408" s="43"/>
      <c r="G408" s="42"/>
      <c r="H408" s="43"/>
      <c r="I408" s="25" t="s">
        <v>15</v>
      </c>
      <c r="J408" s="34" t="str">
        <f>IF(E408="","",raw_data!C400)</f>
        <v/>
      </c>
      <c r="K408" s="46"/>
      <c r="L408" s="87"/>
      <c r="M408" s="19" t="str">
        <f>IF(E408="","",raw_data!F400)</f>
        <v/>
      </c>
      <c r="N408" s="20" t="str">
        <f t="shared" si="18"/>
        <v/>
      </c>
      <c r="O408" s="90"/>
      <c r="P408" s="91"/>
      <c r="Q408" s="91"/>
      <c r="R408" s="91"/>
      <c r="S408" s="41" t="str">
        <f t="shared" si="17"/>
        <v/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2.75" customHeight="1" x14ac:dyDescent="0.2">
      <c r="A409" s="9">
        <v>19107</v>
      </c>
      <c r="B409" s="9" t="s">
        <v>83</v>
      </c>
      <c r="C409" s="9" t="s">
        <v>356</v>
      </c>
      <c r="D409" s="23"/>
      <c r="E409" s="42"/>
      <c r="F409" s="43"/>
      <c r="G409" s="42"/>
      <c r="H409" s="43"/>
      <c r="I409" s="25" t="s">
        <v>15</v>
      </c>
      <c r="J409" s="34" t="str">
        <f>IF(E409="","",raw_data!C401)</f>
        <v/>
      </c>
      <c r="K409" s="46"/>
      <c r="L409" s="87"/>
      <c r="M409" s="19" t="str">
        <f>IF(E409="","",raw_data!F401)</f>
        <v/>
      </c>
      <c r="N409" s="20" t="str">
        <f t="shared" si="18"/>
        <v/>
      </c>
      <c r="O409" s="90"/>
      <c r="P409" s="91"/>
      <c r="Q409" s="91"/>
      <c r="R409" s="91"/>
      <c r="S409" s="41" t="str">
        <f t="shared" si="17"/>
        <v/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2.75" customHeight="1" x14ac:dyDescent="0.2">
      <c r="A410" s="9">
        <v>19108</v>
      </c>
      <c r="B410" s="9" t="s">
        <v>83</v>
      </c>
      <c r="C410" s="9" t="s">
        <v>357</v>
      </c>
      <c r="D410" s="23"/>
      <c r="E410" s="42"/>
      <c r="F410" s="43"/>
      <c r="G410" s="42"/>
      <c r="H410" s="43"/>
      <c r="I410" s="25" t="s">
        <v>15</v>
      </c>
      <c r="J410" s="34" t="str">
        <f>IF(E410="","",raw_data!C402)</f>
        <v/>
      </c>
      <c r="K410" s="46"/>
      <c r="L410" s="87"/>
      <c r="M410" s="19" t="str">
        <f>IF(E410="","",raw_data!F402)</f>
        <v/>
      </c>
      <c r="N410" s="20" t="str">
        <f t="shared" si="18"/>
        <v/>
      </c>
      <c r="O410" s="90"/>
      <c r="P410" s="91"/>
      <c r="Q410" s="91"/>
      <c r="R410" s="91"/>
      <c r="S410" s="41" t="str">
        <f t="shared" si="17"/>
        <v/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2.75" customHeight="1" x14ac:dyDescent="0.2">
      <c r="A411" s="9">
        <v>19109</v>
      </c>
      <c r="B411" s="9" t="s">
        <v>83</v>
      </c>
      <c r="C411" s="9" t="s">
        <v>358</v>
      </c>
      <c r="D411" s="23"/>
      <c r="E411" s="42"/>
      <c r="F411" s="43"/>
      <c r="G411" s="42"/>
      <c r="H411" s="43"/>
      <c r="I411" s="25" t="s">
        <v>15</v>
      </c>
      <c r="J411" s="34" t="str">
        <f>IF(E411="","",raw_data!C403)</f>
        <v/>
      </c>
      <c r="K411" s="46"/>
      <c r="L411" s="87"/>
      <c r="M411" s="19" t="str">
        <f>IF(E411="","",raw_data!F403)</f>
        <v/>
      </c>
      <c r="N411" s="20" t="str">
        <f t="shared" si="18"/>
        <v/>
      </c>
      <c r="O411" s="90"/>
      <c r="P411" s="91"/>
      <c r="Q411" s="91"/>
      <c r="R411" s="91"/>
      <c r="S411" s="41" t="str">
        <f t="shared" si="17"/>
        <v/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2.75" customHeight="1" x14ac:dyDescent="0.2">
      <c r="A412" s="9">
        <v>19110</v>
      </c>
      <c r="B412" s="9" t="s">
        <v>83</v>
      </c>
      <c r="C412" s="9" t="s">
        <v>359</v>
      </c>
      <c r="D412" s="23"/>
      <c r="E412" s="42"/>
      <c r="F412" s="43"/>
      <c r="G412" s="42"/>
      <c r="H412" s="43"/>
      <c r="I412" s="25" t="s">
        <v>15</v>
      </c>
      <c r="J412" s="34" t="str">
        <f>IF(E412="","",raw_data!C404)</f>
        <v/>
      </c>
      <c r="K412" s="46"/>
      <c r="L412" s="87"/>
      <c r="M412" s="19" t="str">
        <f>IF(E412="","",raw_data!F404)</f>
        <v/>
      </c>
      <c r="N412" s="20" t="str">
        <f t="shared" si="18"/>
        <v/>
      </c>
      <c r="O412" s="90"/>
      <c r="P412" s="91"/>
      <c r="Q412" s="91"/>
      <c r="R412" s="91"/>
      <c r="S412" s="41" t="str">
        <f t="shared" si="17"/>
        <v/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2.75" customHeight="1" x14ac:dyDescent="0.2">
      <c r="A413" s="9">
        <v>19111</v>
      </c>
      <c r="B413" s="9" t="s">
        <v>83</v>
      </c>
      <c r="C413" s="9" t="s">
        <v>360</v>
      </c>
      <c r="D413" s="23"/>
      <c r="E413" s="42"/>
      <c r="F413" s="43"/>
      <c r="G413" s="42"/>
      <c r="H413" s="43"/>
      <c r="I413" s="25" t="s">
        <v>15</v>
      </c>
      <c r="J413" s="34" t="str">
        <f>IF(E413="","",raw_data!C405)</f>
        <v/>
      </c>
      <c r="K413" s="46"/>
      <c r="L413" s="87"/>
      <c r="M413" s="19" t="str">
        <f>IF(E413="","",raw_data!F405)</f>
        <v/>
      </c>
      <c r="N413" s="20" t="str">
        <f t="shared" si="18"/>
        <v/>
      </c>
      <c r="O413" s="90"/>
      <c r="P413" s="91"/>
      <c r="Q413" s="91"/>
      <c r="R413" s="91"/>
      <c r="S413" s="41" t="str">
        <f t="shared" si="17"/>
        <v/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2.75" customHeight="1" x14ac:dyDescent="0.2">
      <c r="A414" s="9">
        <v>19112</v>
      </c>
      <c r="B414" s="9" t="s">
        <v>83</v>
      </c>
      <c r="C414" s="9" t="s">
        <v>361</v>
      </c>
      <c r="D414" s="23"/>
      <c r="E414" s="42"/>
      <c r="F414" s="43"/>
      <c r="G414" s="42"/>
      <c r="H414" s="43"/>
      <c r="I414" s="25" t="s">
        <v>15</v>
      </c>
      <c r="J414" s="34" t="str">
        <f>IF(E414="","",raw_data!C406)</f>
        <v/>
      </c>
      <c r="K414" s="46"/>
      <c r="L414" s="87"/>
      <c r="M414" s="19" t="str">
        <f>IF(E414="","",raw_data!F406)</f>
        <v/>
      </c>
      <c r="N414" s="20" t="str">
        <f t="shared" si="18"/>
        <v/>
      </c>
      <c r="O414" s="90"/>
      <c r="P414" s="91"/>
      <c r="Q414" s="91"/>
      <c r="R414" s="91"/>
      <c r="S414" s="41" t="str">
        <f t="shared" si="17"/>
        <v/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2.75" customHeight="1" x14ac:dyDescent="0.2">
      <c r="A415" s="9">
        <v>19113</v>
      </c>
      <c r="B415" s="9" t="s">
        <v>83</v>
      </c>
      <c r="C415" s="9" t="s">
        <v>362</v>
      </c>
      <c r="D415" s="23"/>
      <c r="E415" s="42"/>
      <c r="F415" s="43"/>
      <c r="G415" s="42"/>
      <c r="H415" s="43"/>
      <c r="I415" s="25" t="s">
        <v>15</v>
      </c>
      <c r="J415" s="34" t="str">
        <f>IF(E415="","",raw_data!C407)</f>
        <v/>
      </c>
      <c r="K415" s="46"/>
      <c r="L415" s="87"/>
      <c r="M415" s="19" t="str">
        <f>IF(E415="","",raw_data!F407)</f>
        <v/>
      </c>
      <c r="N415" s="20" t="str">
        <f t="shared" si="18"/>
        <v/>
      </c>
      <c r="O415" s="90"/>
      <c r="P415" s="91"/>
      <c r="Q415" s="91"/>
      <c r="R415" s="91"/>
      <c r="S415" s="41" t="str">
        <f t="shared" si="17"/>
        <v/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2.75" customHeight="1" x14ac:dyDescent="0.2">
      <c r="A416" s="9">
        <v>19114</v>
      </c>
      <c r="B416" s="9" t="s">
        <v>83</v>
      </c>
      <c r="C416" s="9" t="s">
        <v>363</v>
      </c>
      <c r="D416" s="23"/>
      <c r="E416" s="42"/>
      <c r="F416" s="43"/>
      <c r="G416" s="42"/>
      <c r="H416" s="43"/>
      <c r="I416" s="25" t="s">
        <v>15</v>
      </c>
      <c r="J416" s="34" t="str">
        <f>IF(E416="","",raw_data!C408)</f>
        <v/>
      </c>
      <c r="K416" s="46"/>
      <c r="L416" s="87"/>
      <c r="M416" s="19" t="str">
        <f>IF(E416="","",raw_data!F408)</f>
        <v/>
      </c>
      <c r="N416" s="20" t="str">
        <f t="shared" si="18"/>
        <v/>
      </c>
      <c r="O416" s="90"/>
      <c r="P416" s="91"/>
      <c r="Q416" s="91"/>
      <c r="R416" s="91"/>
      <c r="S416" s="41" t="str">
        <f t="shared" si="17"/>
        <v/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2.75" customHeight="1" x14ac:dyDescent="0.2">
      <c r="A417" s="9">
        <v>19115</v>
      </c>
      <c r="B417" s="9" t="s">
        <v>83</v>
      </c>
      <c r="C417" s="9" t="s">
        <v>92</v>
      </c>
      <c r="D417" s="23"/>
      <c r="E417" s="42"/>
      <c r="F417" s="43"/>
      <c r="G417" s="42"/>
      <c r="H417" s="43"/>
      <c r="I417" s="25" t="s">
        <v>15</v>
      </c>
      <c r="J417" s="34" t="str">
        <f>IF(E417="","",raw_data!C409)</f>
        <v/>
      </c>
      <c r="K417" s="46"/>
      <c r="L417" s="87"/>
      <c r="M417" s="19" t="str">
        <f>IF(E417="","",raw_data!F409)</f>
        <v/>
      </c>
      <c r="N417" s="20" t="str">
        <f t="shared" si="18"/>
        <v/>
      </c>
      <c r="O417" s="90"/>
      <c r="P417" s="91"/>
      <c r="Q417" s="91"/>
      <c r="R417" s="91"/>
      <c r="S417" s="41" t="str">
        <f t="shared" si="17"/>
        <v/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2.75" customHeight="1" x14ac:dyDescent="0.2">
      <c r="A418" s="9">
        <v>19116</v>
      </c>
      <c r="B418" s="9" t="s">
        <v>83</v>
      </c>
      <c r="C418" s="9" t="s">
        <v>257</v>
      </c>
      <c r="D418" s="23"/>
      <c r="E418" s="42"/>
      <c r="F418" s="43"/>
      <c r="G418" s="42"/>
      <c r="H418" s="43"/>
      <c r="I418" s="25" t="s">
        <v>15</v>
      </c>
      <c r="J418" s="34" t="str">
        <f>IF(E418="","",raw_data!C410)</f>
        <v/>
      </c>
      <c r="K418" s="46"/>
      <c r="L418" s="87"/>
      <c r="M418" s="19" t="str">
        <f>IF(E418="","",raw_data!F410)</f>
        <v/>
      </c>
      <c r="N418" s="20" t="str">
        <f t="shared" si="18"/>
        <v/>
      </c>
      <c r="O418" s="90"/>
      <c r="P418" s="91"/>
      <c r="Q418" s="91"/>
      <c r="R418" s="91"/>
      <c r="S418" s="41" t="str">
        <f t="shared" si="17"/>
        <v/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2.75" customHeight="1" x14ac:dyDescent="0.2">
      <c r="A419" s="9">
        <v>19117</v>
      </c>
      <c r="B419" s="9" t="s">
        <v>83</v>
      </c>
      <c r="C419" s="9" t="s">
        <v>197</v>
      </c>
      <c r="D419" s="23"/>
      <c r="E419" s="42"/>
      <c r="F419" s="43"/>
      <c r="G419" s="42"/>
      <c r="H419" s="43"/>
      <c r="I419" s="25" t="s">
        <v>15</v>
      </c>
      <c r="J419" s="34" t="str">
        <f>IF(E419="","",raw_data!C411)</f>
        <v/>
      </c>
      <c r="K419" s="46"/>
      <c r="L419" s="87"/>
      <c r="M419" s="19" t="str">
        <f>IF(E419="","",raw_data!F411)</f>
        <v/>
      </c>
      <c r="N419" s="20" t="str">
        <f t="shared" si="18"/>
        <v/>
      </c>
      <c r="O419" s="90"/>
      <c r="P419" s="91"/>
      <c r="Q419" s="91"/>
      <c r="R419" s="91"/>
      <c r="S419" s="41" t="str">
        <f t="shared" si="17"/>
        <v/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2.75" customHeight="1" x14ac:dyDescent="0.2">
      <c r="A420" s="9">
        <v>19118</v>
      </c>
      <c r="B420" s="9" t="s">
        <v>83</v>
      </c>
      <c r="C420" s="9" t="s">
        <v>9</v>
      </c>
      <c r="D420" s="23"/>
      <c r="E420" s="42"/>
      <c r="F420" s="43"/>
      <c r="G420" s="42"/>
      <c r="H420" s="43"/>
      <c r="I420" s="25" t="s">
        <v>15</v>
      </c>
      <c r="J420" s="34" t="str">
        <f>IF(E420="","",raw_data!C412)</f>
        <v/>
      </c>
      <c r="K420" s="46"/>
      <c r="L420" s="87"/>
      <c r="M420" s="19" t="str">
        <f>IF(E420="","",raw_data!F412)</f>
        <v/>
      </c>
      <c r="N420" s="20" t="str">
        <f t="shared" si="18"/>
        <v/>
      </c>
      <c r="O420" s="90"/>
      <c r="P420" s="91"/>
      <c r="Q420" s="91"/>
      <c r="R420" s="91"/>
      <c r="S420" s="41" t="str">
        <f t="shared" si="17"/>
        <v/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2.75" customHeight="1" x14ac:dyDescent="0.2">
      <c r="A421" s="9">
        <v>19119</v>
      </c>
      <c r="B421" s="9" t="s">
        <v>83</v>
      </c>
      <c r="C421" s="9" t="s">
        <v>241</v>
      </c>
      <c r="D421" s="23"/>
      <c r="E421" s="42"/>
      <c r="F421" s="43"/>
      <c r="G421" s="42"/>
      <c r="H421" s="43"/>
      <c r="I421" s="25" t="s">
        <v>15</v>
      </c>
      <c r="J421" s="34" t="str">
        <f>IF(E421="","",raw_data!C413)</f>
        <v/>
      </c>
      <c r="K421" s="46"/>
      <c r="L421" s="87"/>
      <c r="M421" s="19" t="str">
        <f>IF(E421="","",raw_data!F413)</f>
        <v/>
      </c>
      <c r="N421" s="20" t="str">
        <f t="shared" si="18"/>
        <v/>
      </c>
      <c r="O421" s="90"/>
      <c r="P421" s="91"/>
      <c r="Q421" s="91"/>
      <c r="R421" s="91"/>
      <c r="S421" s="41" t="str">
        <f t="shared" si="17"/>
        <v/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2.75" customHeight="1" x14ac:dyDescent="0.2">
      <c r="A422" s="9">
        <v>19120</v>
      </c>
      <c r="B422" s="9" t="s">
        <v>83</v>
      </c>
      <c r="C422" s="9" t="s">
        <v>93</v>
      </c>
      <c r="D422" s="23"/>
      <c r="E422" s="42"/>
      <c r="F422" s="43"/>
      <c r="G422" s="42"/>
      <c r="H422" s="43"/>
      <c r="I422" s="25" t="s">
        <v>15</v>
      </c>
      <c r="J422" s="34" t="str">
        <f>IF(E422="","",raw_data!C414)</f>
        <v/>
      </c>
      <c r="K422" s="46"/>
      <c r="L422" s="87"/>
      <c r="M422" s="19" t="str">
        <f>IF(E422="","",raw_data!F414)</f>
        <v/>
      </c>
      <c r="N422" s="20" t="str">
        <f t="shared" si="18"/>
        <v/>
      </c>
      <c r="O422" s="90"/>
      <c r="P422" s="91"/>
      <c r="Q422" s="91"/>
      <c r="R422" s="91"/>
      <c r="S422" s="41" t="str">
        <f t="shared" si="17"/>
        <v/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2.75" customHeight="1" x14ac:dyDescent="0.2">
      <c r="A423" s="9">
        <v>19121</v>
      </c>
      <c r="B423" s="9" t="s">
        <v>83</v>
      </c>
      <c r="C423" s="9" t="s">
        <v>258</v>
      </c>
      <c r="D423" s="23"/>
      <c r="E423" s="42"/>
      <c r="F423" s="43"/>
      <c r="G423" s="42"/>
      <c r="H423" s="43"/>
      <c r="I423" s="25" t="s">
        <v>15</v>
      </c>
      <c r="J423" s="34" t="str">
        <f>IF(E423="","",raw_data!C415)</f>
        <v/>
      </c>
      <c r="K423" s="46"/>
      <c r="L423" s="87"/>
      <c r="M423" s="19" t="str">
        <f>IF(E423="","",raw_data!F415)</f>
        <v/>
      </c>
      <c r="N423" s="20" t="str">
        <f t="shared" si="18"/>
        <v/>
      </c>
      <c r="O423" s="90"/>
      <c r="P423" s="91"/>
      <c r="Q423" s="91"/>
      <c r="R423" s="91"/>
      <c r="S423" s="41" t="str">
        <f t="shared" si="17"/>
        <v/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2.75" customHeight="1" x14ac:dyDescent="0.2">
      <c r="A424" s="9">
        <v>19122</v>
      </c>
      <c r="B424" s="9" t="s">
        <v>83</v>
      </c>
      <c r="C424" s="9" t="s">
        <v>94</v>
      </c>
      <c r="D424" s="23"/>
      <c r="E424" s="42"/>
      <c r="F424" s="43"/>
      <c r="G424" s="42"/>
      <c r="H424" s="43"/>
      <c r="I424" s="25" t="s">
        <v>15</v>
      </c>
      <c r="J424" s="34" t="str">
        <f>IF(E424="","",raw_data!C416)</f>
        <v/>
      </c>
      <c r="K424" s="46"/>
      <c r="L424" s="87"/>
      <c r="M424" s="19" t="str">
        <f>IF(E424="","",raw_data!F416)</f>
        <v/>
      </c>
      <c r="N424" s="20" t="str">
        <f t="shared" si="18"/>
        <v/>
      </c>
      <c r="O424" s="90"/>
      <c r="P424" s="91"/>
      <c r="Q424" s="91"/>
      <c r="R424" s="91"/>
      <c r="S424" s="41" t="str">
        <f t="shared" si="17"/>
        <v/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2.75" customHeight="1" x14ac:dyDescent="0.2">
      <c r="A425" s="9">
        <v>19123</v>
      </c>
      <c r="B425" s="9" t="s">
        <v>83</v>
      </c>
      <c r="C425" s="9" t="s">
        <v>79</v>
      </c>
      <c r="D425" s="23"/>
      <c r="E425" s="42"/>
      <c r="F425" s="43"/>
      <c r="G425" s="42"/>
      <c r="H425" s="43"/>
      <c r="I425" s="25" t="s">
        <v>15</v>
      </c>
      <c r="J425" s="34" t="str">
        <f>IF(E425="","",raw_data!C417)</f>
        <v/>
      </c>
      <c r="K425" s="46"/>
      <c r="L425" s="87"/>
      <c r="M425" s="19" t="str">
        <f>IF(E425="","",raw_data!F417)</f>
        <v/>
      </c>
      <c r="N425" s="20" t="str">
        <f t="shared" si="18"/>
        <v/>
      </c>
      <c r="O425" s="90"/>
      <c r="P425" s="91"/>
      <c r="Q425" s="91"/>
      <c r="R425" s="91"/>
      <c r="S425" s="41" t="str">
        <f t="shared" si="17"/>
        <v/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2.75" customHeight="1" x14ac:dyDescent="0.2">
      <c r="A426" s="9">
        <v>19124</v>
      </c>
      <c r="B426" s="9" t="s">
        <v>83</v>
      </c>
      <c r="C426" s="9" t="s">
        <v>242</v>
      </c>
      <c r="D426" s="23"/>
      <c r="E426" s="42"/>
      <c r="F426" s="43"/>
      <c r="G426" s="42"/>
      <c r="H426" s="43"/>
      <c r="I426" s="25" t="s">
        <v>15</v>
      </c>
      <c r="J426" s="34" t="str">
        <f>IF(E426="","",raw_data!C418)</f>
        <v/>
      </c>
      <c r="K426" s="46"/>
      <c r="L426" s="87"/>
      <c r="M426" s="19" t="str">
        <f>IF(E426="","",raw_data!F418)</f>
        <v/>
      </c>
      <c r="N426" s="20" t="str">
        <f t="shared" si="18"/>
        <v/>
      </c>
      <c r="O426" s="90"/>
      <c r="P426" s="91"/>
      <c r="Q426" s="91"/>
      <c r="R426" s="91"/>
      <c r="S426" s="41" t="str">
        <f t="shared" si="17"/>
        <v/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2.75" customHeight="1" x14ac:dyDescent="0.2">
      <c r="A427" s="9">
        <v>19125</v>
      </c>
      <c r="B427" s="9" t="s">
        <v>83</v>
      </c>
      <c r="C427" s="9" t="s">
        <v>80</v>
      </c>
      <c r="D427" s="23"/>
      <c r="E427" s="42"/>
      <c r="F427" s="43"/>
      <c r="G427" s="42"/>
      <c r="H427" s="43"/>
      <c r="I427" s="25" t="s">
        <v>15</v>
      </c>
      <c r="J427" s="34" t="str">
        <f>IF(E427="","",raw_data!C419)</f>
        <v/>
      </c>
      <c r="K427" s="46"/>
      <c r="L427" s="87"/>
      <c r="M427" s="19" t="str">
        <f>IF(E427="","",raw_data!F419)</f>
        <v/>
      </c>
      <c r="N427" s="20" t="str">
        <f t="shared" si="18"/>
        <v/>
      </c>
      <c r="O427" s="90"/>
      <c r="P427" s="91"/>
      <c r="Q427" s="91"/>
      <c r="R427" s="91"/>
      <c r="S427" s="41" t="str">
        <f t="shared" si="17"/>
        <v/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2.75" customHeight="1" x14ac:dyDescent="0.2">
      <c r="A428" s="9">
        <v>19126</v>
      </c>
      <c r="B428" s="9" t="s">
        <v>83</v>
      </c>
      <c r="C428" s="9" t="s">
        <v>81</v>
      </c>
      <c r="D428" s="23"/>
      <c r="E428" s="42"/>
      <c r="F428" s="43"/>
      <c r="G428" s="42"/>
      <c r="H428" s="43"/>
      <c r="I428" s="25" t="s">
        <v>15</v>
      </c>
      <c r="J428" s="34" t="str">
        <f>IF(E428="","",raw_data!C420)</f>
        <v/>
      </c>
      <c r="K428" s="46"/>
      <c r="L428" s="87"/>
      <c r="M428" s="19" t="str">
        <f>IF(E428="","",raw_data!F420)</f>
        <v/>
      </c>
      <c r="N428" s="20" t="str">
        <f t="shared" si="18"/>
        <v/>
      </c>
      <c r="O428" s="90"/>
      <c r="P428" s="91"/>
      <c r="Q428" s="91"/>
      <c r="R428" s="91"/>
      <c r="S428" s="41" t="str">
        <f t="shared" si="17"/>
        <v/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2.75" customHeight="1" x14ac:dyDescent="0.2">
      <c r="A429" s="9">
        <v>19127</v>
      </c>
      <c r="B429" s="9" t="s">
        <v>83</v>
      </c>
      <c r="C429" s="9" t="s">
        <v>259</v>
      </c>
      <c r="D429" s="23"/>
      <c r="E429" s="42"/>
      <c r="F429" s="43"/>
      <c r="G429" s="42"/>
      <c r="H429" s="43"/>
      <c r="I429" s="25" t="s">
        <v>15</v>
      </c>
      <c r="J429" s="34" t="str">
        <f>IF(E429="","",raw_data!C421)</f>
        <v/>
      </c>
      <c r="K429" s="46"/>
      <c r="L429" s="87"/>
      <c r="M429" s="19" t="str">
        <f>IF(E429="","",raw_data!F421)</f>
        <v/>
      </c>
      <c r="N429" s="20" t="str">
        <f t="shared" si="18"/>
        <v/>
      </c>
      <c r="O429" s="90"/>
      <c r="P429" s="91"/>
      <c r="Q429" s="91"/>
      <c r="R429" s="91"/>
      <c r="S429" s="41" t="str">
        <f t="shared" si="17"/>
        <v/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2.75" customHeight="1" x14ac:dyDescent="0.2">
      <c r="A430" s="9">
        <v>19128</v>
      </c>
      <c r="B430" s="9" t="s">
        <v>83</v>
      </c>
      <c r="C430" s="9" t="s">
        <v>95</v>
      </c>
      <c r="D430" s="23"/>
      <c r="E430" s="42"/>
      <c r="F430" s="43"/>
      <c r="G430" s="42"/>
      <c r="H430" s="43"/>
      <c r="I430" s="25" t="s">
        <v>15</v>
      </c>
      <c r="J430" s="34" t="str">
        <f>IF(E430="","",raw_data!C422)</f>
        <v/>
      </c>
      <c r="K430" s="46"/>
      <c r="L430" s="87"/>
      <c r="M430" s="19" t="str">
        <f>IF(E430="","",raw_data!F422)</f>
        <v/>
      </c>
      <c r="N430" s="20" t="str">
        <f t="shared" si="18"/>
        <v/>
      </c>
      <c r="O430" s="90"/>
      <c r="P430" s="91"/>
      <c r="Q430" s="91"/>
      <c r="R430" s="91"/>
      <c r="S430" s="41" t="str">
        <f t="shared" si="17"/>
        <v/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2.75" customHeight="1" x14ac:dyDescent="0.2">
      <c r="A431" s="9">
        <v>19129</v>
      </c>
      <c r="B431" s="9" t="s">
        <v>83</v>
      </c>
      <c r="C431" s="9" t="s">
        <v>193</v>
      </c>
      <c r="D431" s="23"/>
      <c r="E431" s="42"/>
      <c r="F431" s="43"/>
      <c r="G431" s="42"/>
      <c r="H431" s="43"/>
      <c r="I431" s="25" t="s">
        <v>15</v>
      </c>
      <c r="J431" s="34" t="str">
        <f>IF(E431="","",raw_data!C423)</f>
        <v/>
      </c>
      <c r="K431" s="46"/>
      <c r="L431" s="87"/>
      <c r="M431" s="19" t="str">
        <f>IF(E431="","",raw_data!F423)</f>
        <v/>
      </c>
      <c r="N431" s="20" t="str">
        <f t="shared" si="18"/>
        <v/>
      </c>
      <c r="O431" s="90"/>
      <c r="P431" s="91"/>
      <c r="Q431" s="91"/>
      <c r="R431" s="91"/>
      <c r="S431" s="41" t="str">
        <f t="shared" si="17"/>
        <v/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2.75" customHeight="1" x14ac:dyDescent="0.2">
      <c r="A432" s="9">
        <v>19130</v>
      </c>
      <c r="B432" s="9" t="s">
        <v>83</v>
      </c>
      <c r="C432" s="9" t="s">
        <v>56</v>
      </c>
      <c r="D432" s="23"/>
      <c r="E432" s="42"/>
      <c r="F432" s="43"/>
      <c r="G432" s="42"/>
      <c r="H432" s="43"/>
      <c r="I432" s="25" t="s">
        <v>15</v>
      </c>
      <c r="J432" s="34" t="str">
        <f>IF(E432="","",raw_data!C424)</f>
        <v/>
      </c>
      <c r="K432" s="46"/>
      <c r="L432" s="87"/>
      <c r="M432" s="19" t="str">
        <f>IF(E432="","",raw_data!F424)</f>
        <v/>
      </c>
      <c r="N432" s="20" t="str">
        <f t="shared" si="18"/>
        <v/>
      </c>
      <c r="O432" s="90"/>
      <c r="P432" s="91"/>
      <c r="Q432" s="91"/>
      <c r="R432" s="91"/>
      <c r="S432" s="41" t="str">
        <f t="shared" si="17"/>
        <v/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2.75" customHeight="1" x14ac:dyDescent="0.2">
      <c r="A433" s="9">
        <v>19131</v>
      </c>
      <c r="B433" s="9" t="s">
        <v>96</v>
      </c>
      <c r="C433" s="9" t="s">
        <v>97</v>
      </c>
      <c r="D433" s="23"/>
      <c r="E433" s="42"/>
      <c r="F433" s="43"/>
      <c r="G433" s="42"/>
      <c r="H433" s="43"/>
      <c r="I433" s="25" t="s">
        <v>15</v>
      </c>
      <c r="J433" s="34" t="str">
        <f>IF(E433="","",raw_data!C425)</f>
        <v/>
      </c>
      <c r="K433" s="46"/>
      <c r="L433" s="87"/>
      <c r="M433" s="19" t="str">
        <f>IF(E433="","",raw_data!F425)</f>
        <v/>
      </c>
      <c r="N433" s="20" t="str">
        <f t="shared" si="18"/>
        <v/>
      </c>
      <c r="O433" s="90"/>
      <c r="P433" s="91"/>
      <c r="Q433" s="91"/>
      <c r="R433" s="91"/>
      <c r="S433" s="41" t="str">
        <f t="shared" si="17"/>
        <v/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2.75" customHeight="1" x14ac:dyDescent="0.2">
      <c r="A434" s="9">
        <v>19132</v>
      </c>
      <c r="B434" s="9" t="s">
        <v>96</v>
      </c>
      <c r="C434" s="9" t="s">
        <v>77</v>
      </c>
      <c r="D434" s="23"/>
      <c r="E434" s="42"/>
      <c r="F434" s="43"/>
      <c r="G434" s="42"/>
      <c r="H434" s="43"/>
      <c r="I434" s="25" t="s">
        <v>15</v>
      </c>
      <c r="J434" s="34" t="str">
        <f>IF(E434="","",raw_data!C426)</f>
        <v/>
      </c>
      <c r="K434" s="46"/>
      <c r="L434" s="87"/>
      <c r="M434" s="19" t="str">
        <f>IF(E434="","",raw_data!F426)</f>
        <v/>
      </c>
      <c r="N434" s="20" t="str">
        <f t="shared" si="18"/>
        <v/>
      </c>
      <c r="O434" s="90"/>
      <c r="P434" s="91"/>
      <c r="Q434" s="91"/>
      <c r="R434" s="91"/>
      <c r="S434" s="41" t="str">
        <f t="shared" si="17"/>
        <v/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2.75" customHeight="1" x14ac:dyDescent="0.2">
      <c r="A435" s="9">
        <v>19133</v>
      </c>
      <c r="B435" s="9" t="s">
        <v>96</v>
      </c>
      <c r="C435" s="9" t="s">
        <v>19</v>
      </c>
      <c r="D435" s="23"/>
      <c r="E435" s="42"/>
      <c r="F435" s="43"/>
      <c r="G435" s="42"/>
      <c r="H435" s="43"/>
      <c r="I435" s="25" t="s">
        <v>15</v>
      </c>
      <c r="J435" s="34" t="str">
        <f>IF(E435="","",raw_data!C427)</f>
        <v/>
      </c>
      <c r="K435" s="46"/>
      <c r="L435" s="87"/>
      <c r="M435" s="19" t="str">
        <f>IF(E435="","",raw_data!F427)</f>
        <v/>
      </c>
      <c r="N435" s="20" t="str">
        <f t="shared" si="18"/>
        <v/>
      </c>
      <c r="O435" s="90"/>
      <c r="P435" s="91"/>
      <c r="Q435" s="91"/>
      <c r="R435" s="91"/>
      <c r="S435" s="41" t="str">
        <f t="shared" si="17"/>
        <v/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2.75" customHeight="1" x14ac:dyDescent="0.2">
      <c r="A436" s="9">
        <v>19134</v>
      </c>
      <c r="B436" s="9" t="s">
        <v>96</v>
      </c>
      <c r="C436" s="9" t="s">
        <v>240</v>
      </c>
      <c r="D436" s="23"/>
      <c r="E436" s="42"/>
      <c r="F436" s="43"/>
      <c r="G436" s="42"/>
      <c r="H436" s="43"/>
      <c r="I436" s="25" t="s">
        <v>15</v>
      </c>
      <c r="J436" s="34" t="str">
        <f>IF(E436="","",raw_data!C428)</f>
        <v/>
      </c>
      <c r="K436" s="46"/>
      <c r="L436" s="87"/>
      <c r="M436" s="19" t="str">
        <f>IF(E436="","",raw_data!F428)</f>
        <v/>
      </c>
      <c r="N436" s="20" t="str">
        <f t="shared" si="18"/>
        <v/>
      </c>
      <c r="O436" s="90"/>
      <c r="P436" s="91"/>
      <c r="Q436" s="91"/>
      <c r="R436" s="91"/>
      <c r="S436" s="41" t="str">
        <f t="shared" si="17"/>
        <v/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2.75" customHeight="1" x14ac:dyDescent="0.2">
      <c r="A437" s="9">
        <v>19135</v>
      </c>
      <c r="B437" s="9" t="s">
        <v>96</v>
      </c>
      <c r="C437" s="9" t="s">
        <v>160</v>
      </c>
      <c r="D437" s="23"/>
      <c r="E437" s="42"/>
      <c r="F437" s="43"/>
      <c r="G437" s="42"/>
      <c r="H437" s="43"/>
      <c r="I437" s="25" t="s">
        <v>15</v>
      </c>
      <c r="J437" s="34" t="str">
        <f>IF(E437="","",raw_data!C429)</f>
        <v/>
      </c>
      <c r="K437" s="46"/>
      <c r="L437" s="87"/>
      <c r="M437" s="19" t="str">
        <f>IF(E437="","",raw_data!F429)</f>
        <v/>
      </c>
      <c r="N437" s="20" t="str">
        <f t="shared" si="18"/>
        <v/>
      </c>
      <c r="O437" s="90"/>
      <c r="P437" s="91"/>
      <c r="Q437" s="91"/>
      <c r="R437" s="91"/>
      <c r="S437" s="41" t="str">
        <f t="shared" si="17"/>
        <v/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2.75" customHeight="1" x14ac:dyDescent="0.2">
      <c r="A438" s="9">
        <v>19136</v>
      </c>
      <c r="B438" s="9" t="s">
        <v>96</v>
      </c>
      <c r="C438" s="9" t="s">
        <v>161</v>
      </c>
      <c r="D438" s="23"/>
      <c r="E438" s="42"/>
      <c r="F438" s="43"/>
      <c r="G438" s="42"/>
      <c r="H438" s="43"/>
      <c r="I438" s="25" t="s">
        <v>15</v>
      </c>
      <c r="J438" s="34" t="str">
        <f>IF(E438="","",raw_data!C430)</f>
        <v/>
      </c>
      <c r="K438" s="46"/>
      <c r="L438" s="87"/>
      <c r="M438" s="19" t="str">
        <f>IF(E438="","",raw_data!F430)</f>
        <v/>
      </c>
      <c r="N438" s="20" t="str">
        <f t="shared" si="18"/>
        <v/>
      </c>
      <c r="O438" s="90"/>
      <c r="P438" s="91"/>
      <c r="Q438" s="91"/>
      <c r="R438" s="91"/>
      <c r="S438" s="41" t="str">
        <f t="shared" si="17"/>
        <v/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2.75" customHeight="1" x14ac:dyDescent="0.2">
      <c r="A439" s="9">
        <v>19137</v>
      </c>
      <c r="B439" s="9" t="s">
        <v>96</v>
      </c>
      <c r="C439" s="9" t="s">
        <v>260</v>
      </c>
      <c r="D439" s="23"/>
      <c r="E439" s="42"/>
      <c r="F439" s="43"/>
      <c r="G439" s="42"/>
      <c r="H439" s="43"/>
      <c r="I439" s="25" t="s">
        <v>15</v>
      </c>
      <c r="J439" s="34" t="str">
        <f>IF(E439="","",raw_data!C431)</f>
        <v/>
      </c>
      <c r="K439" s="46"/>
      <c r="L439" s="87"/>
      <c r="M439" s="19" t="str">
        <f>IF(E439="","",raw_data!F431)</f>
        <v/>
      </c>
      <c r="N439" s="20" t="str">
        <f t="shared" si="18"/>
        <v/>
      </c>
      <c r="O439" s="90"/>
      <c r="P439" s="91"/>
      <c r="Q439" s="91"/>
      <c r="R439" s="91"/>
      <c r="S439" s="41" t="str">
        <f t="shared" si="17"/>
        <v/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2.75" customHeight="1" x14ac:dyDescent="0.2">
      <c r="A440" s="9">
        <v>19138</v>
      </c>
      <c r="B440" s="9" t="s">
        <v>96</v>
      </c>
      <c r="C440" s="9" t="s">
        <v>98</v>
      </c>
      <c r="D440" s="23"/>
      <c r="E440" s="42"/>
      <c r="F440" s="43"/>
      <c r="G440" s="42"/>
      <c r="H440" s="43"/>
      <c r="I440" s="25" t="s">
        <v>15</v>
      </c>
      <c r="J440" s="34" t="str">
        <f>IF(E440="","",raw_data!C432)</f>
        <v/>
      </c>
      <c r="K440" s="46"/>
      <c r="L440" s="87"/>
      <c r="M440" s="19" t="str">
        <f>IF(E440="","",raw_data!F432)</f>
        <v/>
      </c>
      <c r="N440" s="20" t="str">
        <f t="shared" si="18"/>
        <v/>
      </c>
      <c r="O440" s="90"/>
      <c r="P440" s="91"/>
      <c r="Q440" s="91"/>
      <c r="R440" s="91"/>
      <c r="S440" s="41" t="str">
        <f t="shared" si="17"/>
        <v/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2.75" customHeight="1" x14ac:dyDescent="0.2">
      <c r="A441" s="9">
        <v>19139</v>
      </c>
      <c r="B441" s="9" t="s">
        <v>96</v>
      </c>
      <c r="C441" s="9" t="s">
        <v>261</v>
      </c>
      <c r="D441" s="23"/>
      <c r="E441" s="42"/>
      <c r="F441" s="43"/>
      <c r="G441" s="42"/>
      <c r="H441" s="43"/>
      <c r="I441" s="25" t="s">
        <v>15</v>
      </c>
      <c r="J441" s="34" t="str">
        <f>IF(E441="","",raw_data!C433)</f>
        <v/>
      </c>
      <c r="K441" s="46"/>
      <c r="L441" s="87"/>
      <c r="M441" s="19" t="str">
        <f>IF(E441="","",raw_data!F433)</f>
        <v/>
      </c>
      <c r="N441" s="20" t="str">
        <f t="shared" si="18"/>
        <v/>
      </c>
      <c r="O441" s="90"/>
      <c r="P441" s="91"/>
      <c r="Q441" s="91"/>
      <c r="R441" s="91"/>
      <c r="S441" s="41" t="str">
        <f t="shared" si="17"/>
        <v/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2.75" customHeight="1" x14ac:dyDescent="0.2">
      <c r="A442" s="9">
        <v>19140</v>
      </c>
      <c r="B442" s="9" t="s">
        <v>96</v>
      </c>
      <c r="C442" s="9" t="s">
        <v>262</v>
      </c>
      <c r="D442" s="23"/>
      <c r="E442" s="42"/>
      <c r="F442" s="43"/>
      <c r="G442" s="42"/>
      <c r="H442" s="43"/>
      <c r="I442" s="25" t="s">
        <v>15</v>
      </c>
      <c r="J442" s="34" t="str">
        <f>IF(E442="","",raw_data!C434)</f>
        <v/>
      </c>
      <c r="K442" s="46"/>
      <c r="L442" s="87"/>
      <c r="M442" s="19" t="str">
        <f>IF(E442="","",raw_data!F434)</f>
        <v/>
      </c>
      <c r="N442" s="20" t="str">
        <f t="shared" si="18"/>
        <v/>
      </c>
      <c r="O442" s="90"/>
      <c r="P442" s="91"/>
      <c r="Q442" s="91"/>
      <c r="R442" s="91"/>
      <c r="S442" s="41" t="str">
        <f t="shared" si="17"/>
        <v/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2.75" customHeight="1" x14ac:dyDescent="0.2">
      <c r="A443" s="9">
        <v>19141</v>
      </c>
      <c r="B443" s="9" t="s">
        <v>96</v>
      </c>
      <c r="C443" s="9" t="s">
        <v>263</v>
      </c>
      <c r="D443" s="23"/>
      <c r="E443" s="42"/>
      <c r="F443" s="43"/>
      <c r="G443" s="42"/>
      <c r="H443" s="43"/>
      <c r="I443" s="25" t="s">
        <v>15</v>
      </c>
      <c r="J443" s="34" t="str">
        <f>IF(E443="","",raw_data!C435)</f>
        <v/>
      </c>
      <c r="K443" s="46"/>
      <c r="L443" s="87"/>
      <c r="M443" s="19" t="str">
        <f>IF(E443="","",raw_data!F435)</f>
        <v/>
      </c>
      <c r="N443" s="20" t="str">
        <f t="shared" si="18"/>
        <v/>
      </c>
      <c r="O443" s="90"/>
      <c r="P443" s="91"/>
      <c r="Q443" s="91"/>
      <c r="R443" s="91"/>
      <c r="S443" s="41" t="str">
        <f t="shared" si="17"/>
        <v/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2.75" customHeight="1" x14ac:dyDescent="0.2">
      <c r="A444" s="9">
        <v>19142</v>
      </c>
      <c r="B444" s="9" t="s">
        <v>96</v>
      </c>
      <c r="C444" s="9" t="s">
        <v>99</v>
      </c>
      <c r="D444" s="23"/>
      <c r="E444" s="42"/>
      <c r="F444" s="43"/>
      <c r="G444" s="42"/>
      <c r="H444" s="43"/>
      <c r="I444" s="25" t="s">
        <v>15</v>
      </c>
      <c r="J444" s="34" t="str">
        <f>IF(E444="","",raw_data!C436)</f>
        <v/>
      </c>
      <c r="K444" s="46"/>
      <c r="L444" s="87"/>
      <c r="M444" s="19" t="str">
        <f>IF(E444="","",raw_data!F436)</f>
        <v/>
      </c>
      <c r="N444" s="20" t="str">
        <f t="shared" si="18"/>
        <v/>
      </c>
      <c r="O444" s="90"/>
      <c r="P444" s="91"/>
      <c r="Q444" s="91"/>
      <c r="R444" s="91"/>
      <c r="S444" s="41" t="str">
        <f t="shared" si="17"/>
        <v/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2.75" customHeight="1" x14ac:dyDescent="0.2">
      <c r="A445" s="9">
        <v>19143</v>
      </c>
      <c r="B445" s="9" t="s">
        <v>96</v>
      </c>
      <c r="C445" s="9" t="s">
        <v>264</v>
      </c>
      <c r="D445" s="23"/>
      <c r="E445" s="42"/>
      <c r="F445" s="43"/>
      <c r="G445" s="42"/>
      <c r="H445" s="43"/>
      <c r="I445" s="25" t="s">
        <v>15</v>
      </c>
      <c r="J445" s="34" t="str">
        <f>IF(E445="","",raw_data!C437)</f>
        <v/>
      </c>
      <c r="K445" s="46"/>
      <c r="L445" s="87"/>
      <c r="M445" s="19" t="str">
        <f>IF(E445="","",raw_data!F437)</f>
        <v/>
      </c>
      <c r="N445" s="20" t="str">
        <f t="shared" si="18"/>
        <v/>
      </c>
      <c r="O445" s="90"/>
      <c r="P445" s="91"/>
      <c r="Q445" s="91"/>
      <c r="R445" s="91"/>
      <c r="S445" s="41" t="str">
        <f t="shared" si="17"/>
        <v/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2.75" customHeight="1" x14ac:dyDescent="0.2">
      <c r="A446" s="9">
        <v>19144</v>
      </c>
      <c r="B446" s="9" t="s">
        <v>96</v>
      </c>
      <c r="C446" s="9" t="s">
        <v>265</v>
      </c>
      <c r="D446" s="23"/>
      <c r="E446" s="42"/>
      <c r="F446" s="43"/>
      <c r="G446" s="42"/>
      <c r="H446" s="43"/>
      <c r="I446" s="25" t="s">
        <v>15</v>
      </c>
      <c r="J446" s="34" t="str">
        <f>IF(E446="","",raw_data!C438)</f>
        <v/>
      </c>
      <c r="K446" s="46"/>
      <c r="L446" s="87"/>
      <c r="M446" s="19" t="str">
        <f>IF(E446="","",raw_data!F438)</f>
        <v/>
      </c>
      <c r="N446" s="20" t="str">
        <f t="shared" si="18"/>
        <v/>
      </c>
      <c r="O446" s="90"/>
      <c r="P446" s="91"/>
      <c r="Q446" s="91"/>
      <c r="R446" s="91"/>
      <c r="S446" s="41" t="str">
        <f t="shared" si="17"/>
        <v/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2.75" customHeight="1" x14ac:dyDescent="0.2">
      <c r="A447" s="9">
        <v>19145</v>
      </c>
      <c r="B447" s="9" t="s">
        <v>96</v>
      </c>
      <c r="C447" s="9" t="s">
        <v>266</v>
      </c>
      <c r="D447" s="23"/>
      <c r="E447" s="42"/>
      <c r="F447" s="43"/>
      <c r="G447" s="42"/>
      <c r="H447" s="43"/>
      <c r="I447" s="25" t="s">
        <v>15</v>
      </c>
      <c r="J447" s="34" t="str">
        <f>IF(E447="","",raw_data!C439)</f>
        <v/>
      </c>
      <c r="K447" s="46"/>
      <c r="L447" s="87"/>
      <c r="M447" s="19" t="str">
        <f>IF(E447="","",raw_data!F439)</f>
        <v/>
      </c>
      <c r="N447" s="20" t="str">
        <f t="shared" si="18"/>
        <v/>
      </c>
      <c r="O447" s="90"/>
      <c r="P447" s="91"/>
      <c r="Q447" s="91"/>
      <c r="R447" s="91"/>
      <c r="S447" s="41" t="str">
        <f t="shared" si="17"/>
        <v/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2.75" customHeight="1" x14ac:dyDescent="0.2">
      <c r="A448" s="9">
        <v>19146</v>
      </c>
      <c r="B448" s="9" t="s">
        <v>96</v>
      </c>
      <c r="C448" s="9" t="s">
        <v>267</v>
      </c>
      <c r="D448" s="23"/>
      <c r="E448" s="42"/>
      <c r="F448" s="43"/>
      <c r="G448" s="42"/>
      <c r="H448" s="43"/>
      <c r="I448" s="25" t="s">
        <v>15</v>
      </c>
      <c r="J448" s="34" t="str">
        <f>IF(E448="","",raw_data!C440)</f>
        <v/>
      </c>
      <c r="K448" s="46"/>
      <c r="L448" s="87"/>
      <c r="M448" s="19" t="str">
        <f>IF(E448="","",raw_data!F440)</f>
        <v/>
      </c>
      <c r="N448" s="20" t="str">
        <f t="shared" si="18"/>
        <v/>
      </c>
      <c r="O448" s="90"/>
      <c r="P448" s="91"/>
      <c r="Q448" s="91"/>
      <c r="R448" s="91"/>
      <c r="S448" s="41" t="str">
        <f t="shared" si="17"/>
        <v/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2.75" customHeight="1" x14ac:dyDescent="0.2">
      <c r="A449" s="9">
        <v>19147</v>
      </c>
      <c r="B449" s="9" t="s">
        <v>96</v>
      </c>
      <c r="C449" s="9" t="s">
        <v>268</v>
      </c>
      <c r="D449" s="23"/>
      <c r="E449" s="42"/>
      <c r="F449" s="43"/>
      <c r="G449" s="42"/>
      <c r="H449" s="43"/>
      <c r="I449" s="25" t="s">
        <v>15</v>
      </c>
      <c r="J449" s="34" t="str">
        <f>IF(E449="","",raw_data!C441)</f>
        <v/>
      </c>
      <c r="K449" s="46"/>
      <c r="L449" s="87"/>
      <c r="M449" s="19" t="str">
        <f>IF(E449="","",raw_data!F441)</f>
        <v/>
      </c>
      <c r="N449" s="20" t="str">
        <f t="shared" si="18"/>
        <v/>
      </c>
      <c r="O449" s="90"/>
      <c r="P449" s="91"/>
      <c r="Q449" s="91"/>
      <c r="R449" s="91"/>
      <c r="S449" s="41" t="str">
        <f t="shared" si="17"/>
        <v/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2.75" customHeight="1" x14ac:dyDescent="0.2">
      <c r="A450" s="9">
        <v>19148</v>
      </c>
      <c r="B450" s="9" t="s">
        <v>96</v>
      </c>
      <c r="C450" s="9" t="s">
        <v>269</v>
      </c>
      <c r="D450" s="23"/>
      <c r="E450" s="42"/>
      <c r="F450" s="43"/>
      <c r="G450" s="42"/>
      <c r="H450" s="43"/>
      <c r="I450" s="25" t="s">
        <v>15</v>
      </c>
      <c r="J450" s="34" t="str">
        <f>IF(E450="","",raw_data!C442)</f>
        <v/>
      </c>
      <c r="K450" s="46"/>
      <c r="L450" s="87"/>
      <c r="M450" s="19" t="str">
        <f>IF(E450="","",raw_data!F442)</f>
        <v/>
      </c>
      <c r="N450" s="20" t="str">
        <f t="shared" si="18"/>
        <v/>
      </c>
      <c r="O450" s="90"/>
      <c r="P450" s="91"/>
      <c r="Q450" s="91"/>
      <c r="R450" s="91"/>
      <c r="S450" s="41" t="str">
        <f t="shared" si="17"/>
        <v/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2.75" customHeight="1" x14ac:dyDescent="0.2">
      <c r="A451" s="9">
        <v>19149</v>
      </c>
      <c r="B451" s="9" t="s">
        <v>96</v>
      </c>
      <c r="C451" s="9" t="s">
        <v>214</v>
      </c>
      <c r="D451" s="23"/>
      <c r="E451" s="42"/>
      <c r="F451" s="43"/>
      <c r="G451" s="42"/>
      <c r="H451" s="43"/>
      <c r="I451" s="25" t="s">
        <v>15</v>
      </c>
      <c r="J451" s="34" t="str">
        <f>IF(E451="","",raw_data!C443)</f>
        <v/>
      </c>
      <c r="K451" s="46"/>
      <c r="L451" s="87"/>
      <c r="M451" s="19" t="str">
        <f>IF(E451="","",raw_data!F443)</f>
        <v/>
      </c>
      <c r="N451" s="20" t="str">
        <f t="shared" si="18"/>
        <v/>
      </c>
      <c r="O451" s="90"/>
      <c r="P451" s="91"/>
      <c r="Q451" s="91"/>
      <c r="R451" s="91"/>
      <c r="S451" s="41" t="str">
        <f t="shared" si="17"/>
        <v/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2.75" customHeight="1" x14ac:dyDescent="0.2">
      <c r="A452" s="9">
        <v>19150</v>
      </c>
      <c r="B452" s="9" t="s">
        <v>96</v>
      </c>
      <c r="C452" s="9" t="s">
        <v>101</v>
      </c>
      <c r="D452" s="23"/>
      <c r="E452" s="42"/>
      <c r="F452" s="43"/>
      <c r="G452" s="42"/>
      <c r="H452" s="43"/>
      <c r="I452" s="25" t="s">
        <v>15</v>
      </c>
      <c r="J452" s="34" t="str">
        <f>IF(E452="","",raw_data!C444)</f>
        <v/>
      </c>
      <c r="K452" s="46"/>
      <c r="L452" s="87"/>
      <c r="M452" s="19" t="str">
        <f>IF(E452="","",raw_data!F444)</f>
        <v/>
      </c>
      <c r="N452" s="20" t="str">
        <f t="shared" si="18"/>
        <v/>
      </c>
      <c r="O452" s="90"/>
      <c r="P452" s="91"/>
      <c r="Q452" s="91"/>
      <c r="R452" s="91"/>
      <c r="S452" s="41" t="str">
        <f t="shared" si="17"/>
        <v/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2.75" customHeight="1" x14ac:dyDescent="0.2">
      <c r="A453" s="9">
        <v>19151</v>
      </c>
      <c r="B453" s="9" t="s">
        <v>96</v>
      </c>
      <c r="C453" s="9" t="s">
        <v>346</v>
      </c>
      <c r="D453" s="23"/>
      <c r="E453" s="42"/>
      <c r="F453" s="43"/>
      <c r="G453" s="42"/>
      <c r="H453" s="43"/>
      <c r="I453" s="25" t="s">
        <v>15</v>
      </c>
      <c r="J453" s="34" t="str">
        <f>IF(E453="","",raw_data!C445)</f>
        <v/>
      </c>
      <c r="K453" s="46"/>
      <c r="L453" s="87"/>
      <c r="M453" s="19" t="str">
        <f>IF(E453="","",raw_data!F445)</f>
        <v/>
      </c>
      <c r="N453" s="20" t="str">
        <f t="shared" si="18"/>
        <v/>
      </c>
      <c r="O453" s="90"/>
      <c r="P453" s="91"/>
      <c r="Q453" s="91"/>
      <c r="R453" s="91"/>
      <c r="S453" s="41" t="str">
        <f t="shared" si="17"/>
        <v/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2.75" customHeight="1" x14ac:dyDescent="0.2">
      <c r="A454" s="9">
        <v>19152</v>
      </c>
      <c r="B454" s="9" t="s">
        <v>96</v>
      </c>
      <c r="C454" s="9" t="s">
        <v>347</v>
      </c>
      <c r="D454" s="23"/>
      <c r="E454" s="42"/>
      <c r="F454" s="43"/>
      <c r="G454" s="42"/>
      <c r="H454" s="43"/>
      <c r="I454" s="25" t="s">
        <v>15</v>
      </c>
      <c r="J454" s="34" t="str">
        <f>IF(E454="","",raw_data!C446)</f>
        <v/>
      </c>
      <c r="K454" s="46"/>
      <c r="L454" s="87"/>
      <c r="M454" s="19" t="str">
        <f>IF(E454="","",raw_data!F446)</f>
        <v/>
      </c>
      <c r="N454" s="20" t="str">
        <f t="shared" si="18"/>
        <v/>
      </c>
      <c r="O454" s="90"/>
      <c r="P454" s="91"/>
      <c r="Q454" s="91"/>
      <c r="R454" s="91"/>
      <c r="S454" s="41" t="str">
        <f t="shared" si="17"/>
        <v/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2.75" customHeight="1" x14ac:dyDescent="0.2">
      <c r="A455" s="9">
        <v>19153</v>
      </c>
      <c r="B455" s="9" t="s">
        <v>96</v>
      </c>
      <c r="C455" s="9" t="s">
        <v>348</v>
      </c>
      <c r="D455" s="23"/>
      <c r="E455" s="42"/>
      <c r="F455" s="43"/>
      <c r="G455" s="42"/>
      <c r="H455" s="43"/>
      <c r="I455" s="25" t="s">
        <v>15</v>
      </c>
      <c r="J455" s="34" t="str">
        <f>IF(E455="","",raw_data!C447)</f>
        <v/>
      </c>
      <c r="K455" s="46"/>
      <c r="L455" s="87"/>
      <c r="M455" s="19" t="str">
        <f>IF(E455="","",raw_data!F447)</f>
        <v/>
      </c>
      <c r="N455" s="20" t="str">
        <f t="shared" si="18"/>
        <v/>
      </c>
      <c r="O455" s="90"/>
      <c r="P455" s="91"/>
      <c r="Q455" s="91"/>
      <c r="R455" s="91"/>
      <c r="S455" s="41" t="str">
        <f t="shared" si="17"/>
        <v/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2.75" customHeight="1" x14ac:dyDescent="0.2">
      <c r="A456" s="9">
        <v>19154</v>
      </c>
      <c r="B456" s="9" t="s">
        <v>96</v>
      </c>
      <c r="C456" s="9" t="s">
        <v>349</v>
      </c>
      <c r="D456" s="23"/>
      <c r="E456" s="42"/>
      <c r="F456" s="43"/>
      <c r="G456" s="42"/>
      <c r="H456" s="43"/>
      <c r="I456" s="25" t="s">
        <v>15</v>
      </c>
      <c r="J456" s="34" t="str">
        <f>IF(E456="","",raw_data!C448)</f>
        <v/>
      </c>
      <c r="K456" s="46"/>
      <c r="L456" s="87"/>
      <c r="M456" s="19" t="str">
        <f>IF(E456="","",raw_data!F448)</f>
        <v/>
      </c>
      <c r="N456" s="20" t="str">
        <f t="shared" si="18"/>
        <v/>
      </c>
      <c r="O456" s="90"/>
      <c r="P456" s="91"/>
      <c r="Q456" s="91"/>
      <c r="R456" s="91"/>
      <c r="S456" s="41" t="str">
        <f t="shared" si="17"/>
        <v/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2.75" customHeight="1" x14ac:dyDescent="0.2">
      <c r="A457" s="9">
        <v>19155</v>
      </c>
      <c r="B457" s="9" t="s">
        <v>96</v>
      </c>
      <c r="C457" s="9" t="s">
        <v>350</v>
      </c>
      <c r="D457" s="23"/>
      <c r="E457" s="42"/>
      <c r="F457" s="43"/>
      <c r="G457" s="42"/>
      <c r="H457" s="43"/>
      <c r="I457" s="25" t="s">
        <v>15</v>
      </c>
      <c r="J457" s="34" t="str">
        <f>IF(E457="","",raw_data!C449)</f>
        <v/>
      </c>
      <c r="K457" s="46"/>
      <c r="L457" s="87"/>
      <c r="M457" s="19" t="str">
        <f>IF(E457="","",raw_data!F449)</f>
        <v/>
      </c>
      <c r="N457" s="20" t="str">
        <f t="shared" si="18"/>
        <v/>
      </c>
      <c r="O457" s="90"/>
      <c r="P457" s="91"/>
      <c r="Q457" s="91"/>
      <c r="R457" s="91"/>
      <c r="S457" s="41" t="str">
        <f t="shared" si="17"/>
        <v/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2.75" customHeight="1" x14ac:dyDescent="0.2">
      <c r="A458" s="9">
        <v>19156</v>
      </c>
      <c r="B458" s="9" t="s">
        <v>96</v>
      </c>
      <c r="C458" s="9" t="s">
        <v>351</v>
      </c>
      <c r="D458" s="23"/>
      <c r="E458" s="42"/>
      <c r="F458" s="43"/>
      <c r="G458" s="42"/>
      <c r="H458" s="43"/>
      <c r="I458" s="25" t="s">
        <v>15</v>
      </c>
      <c r="J458" s="34" t="str">
        <f>IF(E458="","",raw_data!C450)</f>
        <v/>
      </c>
      <c r="K458" s="46"/>
      <c r="L458" s="87"/>
      <c r="M458" s="19" t="str">
        <f>IF(E458="","",raw_data!F450)</f>
        <v/>
      </c>
      <c r="N458" s="20" t="str">
        <f t="shared" si="18"/>
        <v/>
      </c>
      <c r="O458" s="90"/>
      <c r="P458" s="91"/>
      <c r="Q458" s="91"/>
      <c r="R458" s="91"/>
      <c r="S458" s="41" t="str">
        <f t="shared" ref="S458:S521" si="19">IF(E458="","",IF(OR(NOT(ISNUMBER(N458)),N458&lt;=(1-E458)),"erfüllt",IF(G458="Fehler","mit Fehler",IF(G458="Warnung","mit Warnung",""))))</f>
        <v/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2.75" customHeight="1" x14ac:dyDescent="0.2">
      <c r="A459" s="9">
        <v>19157</v>
      </c>
      <c r="B459" s="9" t="s">
        <v>96</v>
      </c>
      <c r="C459" s="9" t="s">
        <v>352</v>
      </c>
      <c r="D459" s="23"/>
      <c r="E459" s="42"/>
      <c r="F459" s="43"/>
      <c r="G459" s="42"/>
      <c r="H459" s="43"/>
      <c r="I459" s="25" t="s">
        <v>15</v>
      </c>
      <c r="J459" s="34" t="str">
        <f>IF(E459="","",raw_data!C451)</f>
        <v/>
      </c>
      <c r="K459" s="46"/>
      <c r="L459" s="87"/>
      <c r="M459" s="19" t="str">
        <f>IF(E459="","",raw_data!F451)</f>
        <v/>
      </c>
      <c r="N459" s="20" t="str">
        <f t="shared" ref="N459:N522" si="20">IF(E459="","",IFERROR(M459/J459,"-"))</f>
        <v/>
      </c>
      <c r="O459" s="90"/>
      <c r="P459" s="91"/>
      <c r="Q459" s="91"/>
      <c r="R459" s="91"/>
      <c r="S459" s="41" t="str">
        <f t="shared" si="19"/>
        <v/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2.75" customHeight="1" x14ac:dyDescent="0.2">
      <c r="A460" s="9">
        <v>19158</v>
      </c>
      <c r="B460" s="9" t="s">
        <v>96</v>
      </c>
      <c r="C460" s="9" t="s">
        <v>353</v>
      </c>
      <c r="D460" s="23"/>
      <c r="E460" s="42"/>
      <c r="F460" s="43"/>
      <c r="G460" s="42"/>
      <c r="H460" s="43"/>
      <c r="I460" s="25" t="s">
        <v>15</v>
      </c>
      <c r="J460" s="34" t="str">
        <f>IF(E460="","",raw_data!C452)</f>
        <v/>
      </c>
      <c r="K460" s="46"/>
      <c r="L460" s="87"/>
      <c r="M460" s="19" t="str">
        <f>IF(E460="","",raw_data!F452)</f>
        <v/>
      </c>
      <c r="N460" s="20" t="str">
        <f t="shared" si="20"/>
        <v/>
      </c>
      <c r="O460" s="90"/>
      <c r="P460" s="91"/>
      <c r="Q460" s="91"/>
      <c r="R460" s="91"/>
      <c r="S460" s="41" t="str">
        <f t="shared" si="19"/>
        <v/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2.75" customHeight="1" x14ac:dyDescent="0.2">
      <c r="A461" s="9">
        <v>19159</v>
      </c>
      <c r="B461" s="9" t="s">
        <v>96</v>
      </c>
      <c r="C461" s="9" t="s">
        <v>354</v>
      </c>
      <c r="D461" s="23"/>
      <c r="E461" s="42"/>
      <c r="F461" s="43"/>
      <c r="G461" s="42"/>
      <c r="H461" s="43"/>
      <c r="I461" s="25" t="s">
        <v>15</v>
      </c>
      <c r="J461" s="34" t="str">
        <f>IF(E461="","",raw_data!C453)</f>
        <v/>
      </c>
      <c r="K461" s="46"/>
      <c r="L461" s="87"/>
      <c r="M461" s="19" t="str">
        <f>IF(E461="","",raw_data!F453)</f>
        <v/>
      </c>
      <c r="N461" s="20" t="str">
        <f t="shared" si="20"/>
        <v/>
      </c>
      <c r="O461" s="90"/>
      <c r="P461" s="91"/>
      <c r="Q461" s="91"/>
      <c r="R461" s="91"/>
      <c r="S461" s="41" t="str">
        <f t="shared" si="19"/>
        <v/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2.75" customHeight="1" x14ac:dyDescent="0.2">
      <c r="A462" s="9">
        <v>19160</v>
      </c>
      <c r="B462" s="9" t="s">
        <v>96</v>
      </c>
      <c r="C462" s="9" t="s">
        <v>243</v>
      </c>
      <c r="D462" s="23"/>
      <c r="E462" s="42"/>
      <c r="F462" s="43"/>
      <c r="G462" s="42"/>
      <c r="H462" s="43"/>
      <c r="I462" s="25" t="s">
        <v>15</v>
      </c>
      <c r="J462" s="34" t="str">
        <f>IF(E462="","",raw_data!C454)</f>
        <v/>
      </c>
      <c r="K462" s="46"/>
      <c r="L462" s="87"/>
      <c r="M462" s="19" t="str">
        <f>IF(E462="","",raw_data!F454)</f>
        <v/>
      </c>
      <c r="N462" s="20" t="str">
        <f t="shared" si="20"/>
        <v/>
      </c>
      <c r="O462" s="90"/>
      <c r="P462" s="91"/>
      <c r="Q462" s="91"/>
      <c r="R462" s="91"/>
      <c r="S462" s="41" t="str">
        <f t="shared" si="19"/>
        <v/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2.75" customHeight="1" x14ac:dyDescent="0.2">
      <c r="A463" s="9">
        <v>19161</v>
      </c>
      <c r="B463" s="9" t="s">
        <v>96</v>
      </c>
      <c r="C463" s="9" t="s">
        <v>244</v>
      </c>
      <c r="D463" s="23"/>
      <c r="E463" s="42"/>
      <c r="F463" s="43"/>
      <c r="G463" s="42"/>
      <c r="H463" s="43"/>
      <c r="I463" s="25" t="s">
        <v>15</v>
      </c>
      <c r="J463" s="34" t="str">
        <f>IF(E463="","",raw_data!C455)</f>
        <v/>
      </c>
      <c r="K463" s="46"/>
      <c r="L463" s="87"/>
      <c r="M463" s="19" t="str">
        <f>IF(E463="","",raw_data!F455)</f>
        <v/>
      </c>
      <c r="N463" s="20" t="str">
        <f t="shared" si="20"/>
        <v/>
      </c>
      <c r="O463" s="90"/>
      <c r="P463" s="91"/>
      <c r="Q463" s="91"/>
      <c r="R463" s="91"/>
      <c r="S463" s="41" t="str">
        <f t="shared" si="19"/>
        <v/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2.75" customHeight="1" x14ac:dyDescent="0.2">
      <c r="A464" s="9">
        <v>19162</v>
      </c>
      <c r="B464" s="9" t="s">
        <v>96</v>
      </c>
      <c r="C464" s="9" t="s">
        <v>245</v>
      </c>
      <c r="D464" s="23"/>
      <c r="E464" s="42"/>
      <c r="F464" s="43"/>
      <c r="G464" s="42"/>
      <c r="H464" s="43"/>
      <c r="I464" s="25" t="s">
        <v>15</v>
      </c>
      <c r="J464" s="34" t="str">
        <f>IF(E464="","",raw_data!C456)</f>
        <v/>
      </c>
      <c r="K464" s="46"/>
      <c r="L464" s="87"/>
      <c r="M464" s="19" t="str">
        <f>IF(E464="","",raw_data!F456)</f>
        <v/>
      </c>
      <c r="N464" s="20" t="str">
        <f t="shared" si="20"/>
        <v/>
      </c>
      <c r="O464" s="90"/>
      <c r="P464" s="91"/>
      <c r="Q464" s="91"/>
      <c r="R464" s="91"/>
      <c r="S464" s="41" t="str">
        <f t="shared" si="19"/>
        <v/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2.75" customHeight="1" x14ac:dyDescent="0.2">
      <c r="A465" s="9">
        <v>19163</v>
      </c>
      <c r="B465" s="9" t="s">
        <v>96</v>
      </c>
      <c r="C465" s="9" t="s">
        <v>78</v>
      </c>
      <c r="D465" s="23"/>
      <c r="E465" s="42"/>
      <c r="F465" s="43"/>
      <c r="G465" s="42"/>
      <c r="H465" s="43"/>
      <c r="I465" s="25" t="s">
        <v>15</v>
      </c>
      <c r="J465" s="34" t="str">
        <f>IF(E465="","",raw_data!C457)</f>
        <v/>
      </c>
      <c r="K465" s="46"/>
      <c r="L465" s="87"/>
      <c r="M465" s="19" t="str">
        <f>IF(E465="","",raw_data!F457)</f>
        <v/>
      </c>
      <c r="N465" s="20" t="str">
        <f t="shared" si="20"/>
        <v/>
      </c>
      <c r="O465" s="90"/>
      <c r="P465" s="91"/>
      <c r="Q465" s="91"/>
      <c r="R465" s="91"/>
      <c r="S465" s="41" t="str">
        <f t="shared" si="19"/>
        <v/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2.75" customHeight="1" x14ac:dyDescent="0.2">
      <c r="A466" s="9">
        <v>19164</v>
      </c>
      <c r="B466" s="9" t="s">
        <v>96</v>
      </c>
      <c r="C466" s="9" t="s">
        <v>162</v>
      </c>
      <c r="D466" s="23"/>
      <c r="E466" s="42"/>
      <c r="F466" s="43"/>
      <c r="G466" s="42"/>
      <c r="H466" s="43"/>
      <c r="I466" s="25" t="s">
        <v>15</v>
      </c>
      <c r="J466" s="34" t="str">
        <f>IF(E466="","",raw_data!C458)</f>
        <v/>
      </c>
      <c r="K466" s="46"/>
      <c r="L466" s="87"/>
      <c r="M466" s="19" t="str">
        <f>IF(E466="","",raw_data!F458)</f>
        <v/>
      </c>
      <c r="N466" s="20" t="str">
        <f t="shared" si="20"/>
        <v/>
      </c>
      <c r="O466" s="90"/>
      <c r="P466" s="91"/>
      <c r="Q466" s="91"/>
      <c r="R466" s="91"/>
      <c r="S466" s="41" t="str">
        <f t="shared" si="19"/>
        <v/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2.75" customHeight="1" x14ac:dyDescent="0.2">
      <c r="A467" s="9">
        <v>19165</v>
      </c>
      <c r="B467" s="9" t="s">
        <v>96</v>
      </c>
      <c r="C467" s="9" t="s">
        <v>355</v>
      </c>
      <c r="D467" s="23"/>
      <c r="E467" s="42"/>
      <c r="F467" s="43"/>
      <c r="G467" s="42"/>
      <c r="H467" s="43"/>
      <c r="I467" s="25" t="s">
        <v>15</v>
      </c>
      <c r="J467" s="34" t="str">
        <f>IF(E467="","",raw_data!C459)</f>
        <v/>
      </c>
      <c r="K467" s="46"/>
      <c r="L467" s="87"/>
      <c r="M467" s="19" t="str">
        <f>IF(E467="","",raw_data!F459)</f>
        <v/>
      </c>
      <c r="N467" s="20" t="str">
        <f t="shared" si="20"/>
        <v/>
      </c>
      <c r="O467" s="90"/>
      <c r="P467" s="91"/>
      <c r="Q467" s="91"/>
      <c r="R467" s="91"/>
      <c r="S467" s="41" t="str">
        <f t="shared" si="19"/>
        <v/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2.75" customHeight="1" x14ac:dyDescent="0.2">
      <c r="A468" s="9">
        <v>19166</v>
      </c>
      <c r="B468" s="9" t="s">
        <v>96</v>
      </c>
      <c r="C468" s="9" t="s">
        <v>356</v>
      </c>
      <c r="D468" s="23"/>
      <c r="E468" s="42"/>
      <c r="F468" s="43"/>
      <c r="G468" s="42"/>
      <c r="H468" s="43"/>
      <c r="I468" s="25" t="s">
        <v>15</v>
      </c>
      <c r="J468" s="34" t="str">
        <f>IF(E468="","",raw_data!C460)</f>
        <v/>
      </c>
      <c r="K468" s="46"/>
      <c r="L468" s="87"/>
      <c r="M468" s="19" t="str">
        <f>IF(E468="","",raw_data!F460)</f>
        <v/>
      </c>
      <c r="N468" s="20" t="str">
        <f t="shared" si="20"/>
        <v/>
      </c>
      <c r="O468" s="90"/>
      <c r="P468" s="91"/>
      <c r="Q468" s="91"/>
      <c r="R468" s="91"/>
      <c r="S468" s="41" t="str">
        <f t="shared" si="19"/>
        <v/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2.75" customHeight="1" x14ac:dyDescent="0.2">
      <c r="A469" s="9">
        <v>19167</v>
      </c>
      <c r="B469" s="9" t="s">
        <v>96</v>
      </c>
      <c r="C469" s="9" t="s">
        <v>357</v>
      </c>
      <c r="D469" s="23"/>
      <c r="E469" s="42"/>
      <c r="F469" s="43"/>
      <c r="G469" s="42"/>
      <c r="H469" s="43"/>
      <c r="I469" s="25" t="s">
        <v>15</v>
      </c>
      <c r="J469" s="34" t="str">
        <f>IF(E469="","",raw_data!C461)</f>
        <v/>
      </c>
      <c r="K469" s="46"/>
      <c r="L469" s="87"/>
      <c r="M469" s="19" t="str">
        <f>IF(E469="","",raw_data!F461)</f>
        <v/>
      </c>
      <c r="N469" s="20" t="str">
        <f t="shared" si="20"/>
        <v/>
      </c>
      <c r="O469" s="90"/>
      <c r="P469" s="91"/>
      <c r="Q469" s="91"/>
      <c r="R469" s="91"/>
      <c r="S469" s="41" t="str">
        <f t="shared" si="19"/>
        <v/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2.75" customHeight="1" x14ac:dyDescent="0.2">
      <c r="A470" s="9">
        <v>19168</v>
      </c>
      <c r="B470" s="9" t="s">
        <v>96</v>
      </c>
      <c r="C470" s="9" t="s">
        <v>358</v>
      </c>
      <c r="D470" s="23"/>
      <c r="E470" s="42"/>
      <c r="F470" s="43"/>
      <c r="G470" s="42"/>
      <c r="H470" s="43"/>
      <c r="I470" s="25" t="s">
        <v>15</v>
      </c>
      <c r="J470" s="34" t="str">
        <f>IF(E470="","",raw_data!C462)</f>
        <v/>
      </c>
      <c r="K470" s="46"/>
      <c r="L470" s="87"/>
      <c r="M470" s="19" t="str">
        <f>IF(E470="","",raw_data!F462)</f>
        <v/>
      </c>
      <c r="N470" s="20" t="str">
        <f t="shared" si="20"/>
        <v/>
      </c>
      <c r="O470" s="90"/>
      <c r="P470" s="91"/>
      <c r="Q470" s="91"/>
      <c r="R470" s="91"/>
      <c r="S470" s="41" t="str">
        <f t="shared" si="19"/>
        <v/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2.75" customHeight="1" x14ac:dyDescent="0.2">
      <c r="A471" s="9">
        <v>19169</v>
      </c>
      <c r="B471" s="9" t="s">
        <v>96</v>
      </c>
      <c r="C471" s="9" t="s">
        <v>359</v>
      </c>
      <c r="D471" s="23"/>
      <c r="E471" s="42"/>
      <c r="F471" s="43"/>
      <c r="G471" s="42"/>
      <c r="H471" s="43"/>
      <c r="I471" s="25" t="s">
        <v>15</v>
      </c>
      <c r="J471" s="34" t="str">
        <f>IF(E471="","",raw_data!C463)</f>
        <v/>
      </c>
      <c r="K471" s="46"/>
      <c r="L471" s="87"/>
      <c r="M471" s="19" t="str">
        <f>IF(E471="","",raw_data!F463)</f>
        <v/>
      </c>
      <c r="N471" s="20" t="str">
        <f t="shared" si="20"/>
        <v/>
      </c>
      <c r="O471" s="90"/>
      <c r="P471" s="91"/>
      <c r="Q471" s="91"/>
      <c r="R471" s="91"/>
      <c r="S471" s="41" t="str">
        <f t="shared" si="19"/>
        <v/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2.75" customHeight="1" x14ac:dyDescent="0.2">
      <c r="A472" s="9">
        <v>19170</v>
      </c>
      <c r="B472" s="9" t="s">
        <v>96</v>
      </c>
      <c r="C472" s="9" t="s">
        <v>360</v>
      </c>
      <c r="D472" s="23"/>
      <c r="E472" s="42"/>
      <c r="F472" s="43"/>
      <c r="G472" s="42"/>
      <c r="H472" s="43"/>
      <c r="I472" s="25" t="s">
        <v>15</v>
      </c>
      <c r="J472" s="34" t="str">
        <f>IF(E472="","",raw_data!C464)</f>
        <v/>
      </c>
      <c r="K472" s="46"/>
      <c r="L472" s="87"/>
      <c r="M472" s="19" t="str">
        <f>IF(E472="","",raw_data!F464)</f>
        <v/>
      </c>
      <c r="N472" s="20" t="str">
        <f t="shared" si="20"/>
        <v/>
      </c>
      <c r="O472" s="90"/>
      <c r="P472" s="91"/>
      <c r="Q472" s="91"/>
      <c r="R472" s="91"/>
      <c r="S472" s="41" t="str">
        <f t="shared" si="19"/>
        <v/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2.75" customHeight="1" x14ac:dyDescent="0.2">
      <c r="A473" s="9">
        <v>19171</v>
      </c>
      <c r="B473" s="9" t="s">
        <v>96</v>
      </c>
      <c r="C473" s="9" t="s">
        <v>361</v>
      </c>
      <c r="D473" s="23"/>
      <c r="E473" s="42"/>
      <c r="F473" s="43"/>
      <c r="G473" s="42"/>
      <c r="H473" s="43"/>
      <c r="I473" s="25" t="s">
        <v>15</v>
      </c>
      <c r="J473" s="34" t="str">
        <f>IF(E473="","",raw_data!C465)</f>
        <v/>
      </c>
      <c r="K473" s="46"/>
      <c r="L473" s="87"/>
      <c r="M473" s="19" t="str">
        <f>IF(E473="","",raw_data!F465)</f>
        <v/>
      </c>
      <c r="N473" s="20" t="str">
        <f t="shared" si="20"/>
        <v/>
      </c>
      <c r="O473" s="90"/>
      <c r="P473" s="91"/>
      <c r="Q473" s="91"/>
      <c r="R473" s="91"/>
      <c r="S473" s="41" t="str">
        <f t="shared" si="19"/>
        <v/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2.75" customHeight="1" x14ac:dyDescent="0.2">
      <c r="A474" s="9">
        <v>19172</v>
      </c>
      <c r="B474" s="9" t="s">
        <v>96</v>
      </c>
      <c r="C474" s="9" t="s">
        <v>362</v>
      </c>
      <c r="D474" s="23"/>
      <c r="E474" s="42"/>
      <c r="F474" s="43"/>
      <c r="G474" s="42"/>
      <c r="H474" s="43"/>
      <c r="I474" s="25" t="s">
        <v>15</v>
      </c>
      <c r="J474" s="34" t="str">
        <f>IF(E474="","",raw_data!C466)</f>
        <v/>
      </c>
      <c r="K474" s="46"/>
      <c r="L474" s="87"/>
      <c r="M474" s="19" t="str">
        <f>IF(E474="","",raw_data!F466)</f>
        <v/>
      </c>
      <c r="N474" s="20" t="str">
        <f t="shared" si="20"/>
        <v/>
      </c>
      <c r="O474" s="90"/>
      <c r="P474" s="91"/>
      <c r="Q474" s="91"/>
      <c r="R474" s="91"/>
      <c r="S474" s="41" t="str">
        <f t="shared" si="19"/>
        <v/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2.75" customHeight="1" x14ac:dyDescent="0.2">
      <c r="A475" s="9">
        <v>19173</v>
      </c>
      <c r="B475" s="9" t="s">
        <v>96</v>
      </c>
      <c r="C475" s="9" t="s">
        <v>363</v>
      </c>
      <c r="D475" s="23"/>
      <c r="E475" s="42"/>
      <c r="F475" s="43"/>
      <c r="G475" s="42"/>
      <c r="H475" s="43"/>
      <c r="I475" s="25" t="s">
        <v>15</v>
      </c>
      <c r="J475" s="34" t="str">
        <f>IF(E475="","",raw_data!C467)</f>
        <v/>
      </c>
      <c r="K475" s="46"/>
      <c r="L475" s="87"/>
      <c r="M475" s="19" t="str">
        <f>IF(E475="","",raw_data!F467)</f>
        <v/>
      </c>
      <c r="N475" s="20" t="str">
        <f t="shared" si="20"/>
        <v/>
      </c>
      <c r="O475" s="90"/>
      <c r="P475" s="91"/>
      <c r="Q475" s="91"/>
      <c r="R475" s="91"/>
      <c r="S475" s="41" t="str">
        <f t="shared" si="19"/>
        <v/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2.75" customHeight="1" x14ac:dyDescent="0.2">
      <c r="A476" s="9">
        <v>19174</v>
      </c>
      <c r="B476" s="9" t="s">
        <v>96</v>
      </c>
      <c r="C476" s="9" t="s">
        <v>270</v>
      </c>
      <c r="D476" s="23"/>
      <c r="E476" s="42"/>
      <c r="F476" s="43"/>
      <c r="G476" s="42"/>
      <c r="H476" s="43"/>
      <c r="I476" s="25" t="s">
        <v>15</v>
      </c>
      <c r="J476" s="34" t="str">
        <f>IF(E476="","",raw_data!C468)</f>
        <v/>
      </c>
      <c r="K476" s="46"/>
      <c r="L476" s="87"/>
      <c r="M476" s="19" t="str">
        <f>IF(E476="","",raw_data!F468)</f>
        <v/>
      </c>
      <c r="N476" s="20" t="str">
        <f t="shared" si="20"/>
        <v/>
      </c>
      <c r="O476" s="90"/>
      <c r="P476" s="91"/>
      <c r="Q476" s="91"/>
      <c r="R476" s="91"/>
      <c r="S476" s="41" t="str">
        <f t="shared" si="19"/>
        <v/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2.75" customHeight="1" x14ac:dyDescent="0.2">
      <c r="A477" s="9">
        <v>19175</v>
      </c>
      <c r="B477" s="9" t="s">
        <v>96</v>
      </c>
      <c r="C477" s="9" t="s">
        <v>271</v>
      </c>
      <c r="D477" s="23"/>
      <c r="E477" s="42"/>
      <c r="F477" s="43"/>
      <c r="G477" s="42"/>
      <c r="H477" s="43"/>
      <c r="I477" s="25" t="s">
        <v>15</v>
      </c>
      <c r="J477" s="34" t="str">
        <f>IF(E477="","",raw_data!C469)</f>
        <v/>
      </c>
      <c r="K477" s="46"/>
      <c r="L477" s="87"/>
      <c r="M477" s="19" t="str">
        <f>IF(E477="","",raw_data!F469)</f>
        <v/>
      </c>
      <c r="N477" s="20" t="str">
        <f t="shared" si="20"/>
        <v/>
      </c>
      <c r="O477" s="90"/>
      <c r="P477" s="91"/>
      <c r="Q477" s="91"/>
      <c r="R477" s="91"/>
      <c r="S477" s="41" t="str">
        <f t="shared" si="19"/>
        <v/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2.75" customHeight="1" x14ac:dyDescent="0.2">
      <c r="A478" s="9">
        <v>19176</v>
      </c>
      <c r="B478" s="9" t="s">
        <v>96</v>
      </c>
      <c r="C478" s="9" t="s">
        <v>246</v>
      </c>
      <c r="D478" s="23"/>
      <c r="E478" s="42"/>
      <c r="F478" s="43"/>
      <c r="G478" s="42"/>
      <c r="H478" s="43"/>
      <c r="I478" s="25" t="s">
        <v>15</v>
      </c>
      <c r="J478" s="34" t="str">
        <f>IF(E478="","",raw_data!C470)</f>
        <v/>
      </c>
      <c r="K478" s="46"/>
      <c r="L478" s="87"/>
      <c r="M478" s="19" t="str">
        <f>IF(E478="","",raw_data!F470)</f>
        <v/>
      </c>
      <c r="N478" s="20" t="str">
        <f t="shared" si="20"/>
        <v/>
      </c>
      <c r="O478" s="90"/>
      <c r="P478" s="91"/>
      <c r="Q478" s="91"/>
      <c r="R478" s="91"/>
      <c r="S478" s="41" t="str">
        <f t="shared" si="19"/>
        <v/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2.75" customHeight="1" x14ac:dyDescent="0.2">
      <c r="A479" s="9">
        <v>19177</v>
      </c>
      <c r="B479" s="9" t="s">
        <v>96</v>
      </c>
      <c r="C479" s="9" t="s">
        <v>247</v>
      </c>
      <c r="D479" s="23"/>
      <c r="E479" s="42"/>
      <c r="F479" s="43"/>
      <c r="G479" s="42"/>
      <c r="H479" s="43"/>
      <c r="I479" s="25" t="s">
        <v>15</v>
      </c>
      <c r="J479" s="34" t="str">
        <f>IF(E479="","",raw_data!C471)</f>
        <v/>
      </c>
      <c r="K479" s="46"/>
      <c r="L479" s="87"/>
      <c r="M479" s="19" t="str">
        <f>IF(E479="","",raw_data!F471)</f>
        <v/>
      </c>
      <c r="N479" s="20" t="str">
        <f t="shared" si="20"/>
        <v/>
      </c>
      <c r="O479" s="90"/>
      <c r="P479" s="91"/>
      <c r="Q479" s="91"/>
      <c r="R479" s="91"/>
      <c r="S479" s="41" t="str">
        <f t="shared" si="19"/>
        <v/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2.75" customHeight="1" x14ac:dyDescent="0.2">
      <c r="A480" s="9">
        <v>19178</v>
      </c>
      <c r="B480" s="9" t="s">
        <v>96</v>
      </c>
      <c r="C480" s="9" t="s">
        <v>248</v>
      </c>
      <c r="D480" s="23"/>
      <c r="E480" s="42"/>
      <c r="F480" s="43"/>
      <c r="G480" s="42"/>
      <c r="H480" s="43"/>
      <c r="I480" s="25" t="s">
        <v>15</v>
      </c>
      <c r="J480" s="34" t="str">
        <f>IF(E480="","",raw_data!C472)</f>
        <v/>
      </c>
      <c r="K480" s="46"/>
      <c r="L480" s="87"/>
      <c r="M480" s="19" t="str">
        <f>IF(E480="","",raw_data!F472)</f>
        <v/>
      </c>
      <c r="N480" s="20" t="str">
        <f t="shared" si="20"/>
        <v/>
      </c>
      <c r="O480" s="90"/>
      <c r="P480" s="91"/>
      <c r="Q480" s="91"/>
      <c r="R480" s="91"/>
      <c r="S480" s="41" t="str">
        <f t="shared" si="19"/>
        <v/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2.75" customHeight="1" x14ac:dyDescent="0.2">
      <c r="A481" s="9">
        <v>19179</v>
      </c>
      <c r="B481" s="9" t="s">
        <v>96</v>
      </c>
      <c r="C481" s="9" t="s">
        <v>9</v>
      </c>
      <c r="D481" s="23"/>
      <c r="E481" s="42"/>
      <c r="F481" s="43"/>
      <c r="G481" s="42"/>
      <c r="H481" s="43"/>
      <c r="I481" s="25" t="s">
        <v>15</v>
      </c>
      <c r="J481" s="34" t="str">
        <f>IF(E481="","",raw_data!C473)</f>
        <v/>
      </c>
      <c r="K481" s="46"/>
      <c r="L481" s="87"/>
      <c r="M481" s="19" t="str">
        <f>IF(E481="","",raw_data!F473)</f>
        <v/>
      </c>
      <c r="N481" s="20" t="str">
        <f t="shared" si="20"/>
        <v/>
      </c>
      <c r="O481" s="90"/>
      <c r="P481" s="91"/>
      <c r="Q481" s="91"/>
      <c r="R481" s="91"/>
      <c r="S481" s="41" t="str">
        <f t="shared" si="19"/>
        <v/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2.75" customHeight="1" x14ac:dyDescent="0.2">
      <c r="A482" s="9">
        <v>19180</v>
      </c>
      <c r="B482" s="9" t="s">
        <v>96</v>
      </c>
      <c r="C482" s="9" t="s">
        <v>241</v>
      </c>
      <c r="D482" s="23"/>
      <c r="E482" s="42"/>
      <c r="F482" s="43"/>
      <c r="G482" s="42"/>
      <c r="H482" s="43"/>
      <c r="I482" s="25" t="s">
        <v>15</v>
      </c>
      <c r="J482" s="34" t="str">
        <f>IF(E482="","",raw_data!C474)</f>
        <v/>
      </c>
      <c r="K482" s="46"/>
      <c r="L482" s="87"/>
      <c r="M482" s="19" t="str">
        <f>IF(E482="","",raw_data!F474)</f>
        <v/>
      </c>
      <c r="N482" s="20" t="str">
        <f t="shared" si="20"/>
        <v/>
      </c>
      <c r="O482" s="90"/>
      <c r="P482" s="91"/>
      <c r="Q482" s="91"/>
      <c r="R482" s="91"/>
      <c r="S482" s="41" t="str">
        <f t="shared" si="19"/>
        <v/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2.75" customHeight="1" x14ac:dyDescent="0.2">
      <c r="A483" s="9">
        <v>19181</v>
      </c>
      <c r="B483" s="9" t="s">
        <v>96</v>
      </c>
      <c r="C483" s="9" t="s">
        <v>102</v>
      </c>
      <c r="D483" s="23"/>
      <c r="E483" s="42"/>
      <c r="F483" s="43"/>
      <c r="G483" s="42"/>
      <c r="H483" s="43"/>
      <c r="I483" s="25" t="s">
        <v>15</v>
      </c>
      <c r="J483" s="34" t="str">
        <f>IF(E483="","",raw_data!C475)</f>
        <v/>
      </c>
      <c r="K483" s="46"/>
      <c r="L483" s="87"/>
      <c r="M483" s="19" t="str">
        <f>IF(E483="","",raw_data!F475)</f>
        <v/>
      </c>
      <c r="N483" s="20" t="str">
        <f t="shared" si="20"/>
        <v/>
      </c>
      <c r="O483" s="90"/>
      <c r="P483" s="91"/>
      <c r="Q483" s="91"/>
      <c r="R483" s="91"/>
      <c r="S483" s="41" t="str">
        <f t="shared" si="19"/>
        <v/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2.75" customHeight="1" x14ac:dyDescent="0.2">
      <c r="A484" s="9">
        <v>19182</v>
      </c>
      <c r="B484" s="9" t="s">
        <v>96</v>
      </c>
      <c r="C484" s="9" t="s">
        <v>79</v>
      </c>
      <c r="D484" s="23"/>
      <c r="E484" s="42"/>
      <c r="F484" s="43"/>
      <c r="G484" s="42"/>
      <c r="H484" s="43"/>
      <c r="I484" s="25" t="s">
        <v>15</v>
      </c>
      <c r="J484" s="34" t="str">
        <f>IF(E484="","",raw_data!C476)</f>
        <v/>
      </c>
      <c r="K484" s="46"/>
      <c r="L484" s="87"/>
      <c r="M484" s="19" t="str">
        <f>IF(E484="","",raw_data!F476)</f>
        <v/>
      </c>
      <c r="N484" s="20" t="str">
        <f t="shared" si="20"/>
        <v/>
      </c>
      <c r="O484" s="90"/>
      <c r="P484" s="91"/>
      <c r="Q484" s="91"/>
      <c r="R484" s="91"/>
      <c r="S484" s="41" t="str">
        <f t="shared" si="19"/>
        <v/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2.75" customHeight="1" x14ac:dyDescent="0.2">
      <c r="A485" s="9">
        <v>19183</v>
      </c>
      <c r="B485" s="9" t="s">
        <v>96</v>
      </c>
      <c r="C485" s="9" t="s">
        <v>220</v>
      </c>
      <c r="D485" s="23"/>
      <c r="E485" s="42"/>
      <c r="F485" s="43"/>
      <c r="G485" s="42"/>
      <c r="H485" s="43"/>
      <c r="I485" s="25" t="s">
        <v>15</v>
      </c>
      <c r="J485" s="34" t="str">
        <f>IF(E485="","",raw_data!C477)</f>
        <v/>
      </c>
      <c r="K485" s="46"/>
      <c r="L485" s="87"/>
      <c r="M485" s="19" t="str">
        <f>IF(E485="","",raw_data!F477)</f>
        <v/>
      </c>
      <c r="N485" s="20" t="str">
        <f t="shared" si="20"/>
        <v/>
      </c>
      <c r="O485" s="90"/>
      <c r="P485" s="91"/>
      <c r="Q485" s="91"/>
      <c r="R485" s="91"/>
      <c r="S485" s="41" t="str">
        <f t="shared" si="19"/>
        <v/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2.75" customHeight="1" x14ac:dyDescent="0.2">
      <c r="A486" s="9">
        <v>19184</v>
      </c>
      <c r="B486" s="9" t="s">
        <v>96</v>
      </c>
      <c r="C486" s="9" t="s">
        <v>103</v>
      </c>
      <c r="D486" s="23"/>
      <c r="E486" s="42"/>
      <c r="F486" s="43"/>
      <c r="G486" s="42"/>
      <c r="H486" s="43"/>
      <c r="I486" s="25" t="s">
        <v>15</v>
      </c>
      <c r="J486" s="34" t="str">
        <f>IF(E486="","",raw_data!C478)</f>
        <v/>
      </c>
      <c r="K486" s="46"/>
      <c r="L486" s="87"/>
      <c r="M486" s="19" t="str">
        <f>IF(E486="","",raw_data!F478)</f>
        <v/>
      </c>
      <c r="N486" s="20" t="str">
        <f t="shared" si="20"/>
        <v/>
      </c>
      <c r="O486" s="90"/>
      <c r="P486" s="91"/>
      <c r="Q486" s="91"/>
      <c r="R486" s="91"/>
      <c r="S486" s="41" t="str">
        <f t="shared" si="19"/>
        <v/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2.75" customHeight="1" x14ac:dyDescent="0.2">
      <c r="A487" s="9">
        <v>19185</v>
      </c>
      <c r="B487" s="9" t="s">
        <v>96</v>
      </c>
      <c r="C487" s="9" t="s">
        <v>242</v>
      </c>
      <c r="D487" s="23"/>
      <c r="E487" s="42"/>
      <c r="F487" s="43"/>
      <c r="G487" s="42"/>
      <c r="H487" s="43"/>
      <c r="I487" s="25" t="s">
        <v>15</v>
      </c>
      <c r="J487" s="34" t="str">
        <f>IF(E487="","",raw_data!C479)</f>
        <v/>
      </c>
      <c r="K487" s="46"/>
      <c r="L487" s="87"/>
      <c r="M487" s="19" t="str">
        <f>IF(E487="","",raw_data!F479)</f>
        <v/>
      </c>
      <c r="N487" s="20" t="str">
        <f t="shared" si="20"/>
        <v/>
      </c>
      <c r="O487" s="90"/>
      <c r="P487" s="91"/>
      <c r="Q487" s="91"/>
      <c r="R487" s="91"/>
      <c r="S487" s="41" t="str">
        <f t="shared" si="19"/>
        <v/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2.75" customHeight="1" x14ac:dyDescent="0.2">
      <c r="A488" s="9">
        <v>19186</v>
      </c>
      <c r="B488" s="9" t="s">
        <v>96</v>
      </c>
      <c r="C488" s="9" t="s">
        <v>80</v>
      </c>
      <c r="D488" s="23"/>
      <c r="E488" s="42"/>
      <c r="F488" s="43"/>
      <c r="G488" s="42"/>
      <c r="H488" s="43"/>
      <c r="I488" s="25" t="s">
        <v>15</v>
      </c>
      <c r="J488" s="34" t="str">
        <f>IF(E488="","",raw_data!C480)</f>
        <v/>
      </c>
      <c r="K488" s="46"/>
      <c r="L488" s="87"/>
      <c r="M488" s="19" t="str">
        <f>IF(E488="","",raw_data!F480)</f>
        <v/>
      </c>
      <c r="N488" s="20" t="str">
        <f t="shared" si="20"/>
        <v/>
      </c>
      <c r="O488" s="90"/>
      <c r="P488" s="91"/>
      <c r="Q488" s="91"/>
      <c r="R488" s="91"/>
      <c r="S488" s="41" t="str">
        <f t="shared" si="19"/>
        <v/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2.75" customHeight="1" x14ac:dyDescent="0.2">
      <c r="A489" s="9">
        <v>19187</v>
      </c>
      <c r="B489" s="9" t="s">
        <v>96</v>
      </c>
      <c r="C489" s="9" t="s">
        <v>104</v>
      </c>
      <c r="D489" s="23"/>
      <c r="E489" s="42"/>
      <c r="F489" s="43"/>
      <c r="G489" s="42"/>
      <c r="H489" s="43"/>
      <c r="I489" s="25" t="s">
        <v>15</v>
      </c>
      <c r="J489" s="34" t="str">
        <f>IF(E489="","",raw_data!C481)</f>
        <v/>
      </c>
      <c r="K489" s="46"/>
      <c r="L489" s="87"/>
      <c r="M489" s="19" t="str">
        <f>IF(E489="","",raw_data!F481)</f>
        <v/>
      </c>
      <c r="N489" s="20" t="str">
        <f t="shared" si="20"/>
        <v/>
      </c>
      <c r="O489" s="90"/>
      <c r="P489" s="91"/>
      <c r="Q489" s="91"/>
      <c r="R489" s="91"/>
      <c r="S489" s="41" t="str">
        <f t="shared" si="19"/>
        <v/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2.75" customHeight="1" x14ac:dyDescent="0.2">
      <c r="A490" s="9">
        <v>19188</v>
      </c>
      <c r="B490" s="9" t="s">
        <v>96</v>
      </c>
      <c r="C490" s="9" t="s">
        <v>81</v>
      </c>
      <c r="D490" s="23"/>
      <c r="E490" s="42"/>
      <c r="F490" s="43"/>
      <c r="G490" s="42"/>
      <c r="H490" s="43"/>
      <c r="I490" s="25" t="s">
        <v>15</v>
      </c>
      <c r="J490" s="34" t="str">
        <f>IF(E490="","",raw_data!C482)</f>
        <v/>
      </c>
      <c r="K490" s="46"/>
      <c r="L490" s="87"/>
      <c r="M490" s="19" t="str">
        <f>IF(E490="","",raw_data!F482)</f>
        <v/>
      </c>
      <c r="N490" s="20" t="str">
        <f t="shared" si="20"/>
        <v/>
      </c>
      <c r="O490" s="90"/>
      <c r="P490" s="91"/>
      <c r="Q490" s="91"/>
      <c r="R490" s="91"/>
      <c r="S490" s="41" t="str">
        <f t="shared" si="19"/>
        <v/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2.75" customHeight="1" x14ac:dyDescent="0.2">
      <c r="A491" s="9">
        <v>19189</v>
      </c>
      <c r="B491" s="9" t="s">
        <v>96</v>
      </c>
      <c r="C491" s="9" t="s">
        <v>105</v>
      </c>
      <c r="D491" s="23"/>
      <c r="E491" s="42"/>
      <c r="F491" s="43"/>
      <c r="G491" s="42"/>
      <c r="H491" s="43"/>
      <c r="I491" s="25" t="s">
        <v>15</v>
      </c>
      <c r="J491" s="34" t="str">
        <f>IF(E491="","",raw_data!C483)</f>
        <v/>
      </c>
      <c r="K491" s="46"/>
      <c r="L491" s="87"/>
      <c r="M491" s="19" t="str">
        <f>IF(E491="","",raw_data!F483)</f>
        <v/>
      </c>
      <c r="N491" s="20" t="str">
        <f t="shared" si="20"/>
        <v/>
      </c>
      <c r="O491" s="90"/>
      <c r="P491" s="91"/>
      <c r="Q491" s="91"/>
      <c r="R491" s="91"/>
      <c r="S491" s="41" t="str">
        <f t="shared" si="19"/>
        <v/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2.75" customHeight="1" x14ac:dyDescent="0.2">
      <c r="A492" s="9">
        <v>19190</v>
      </c>
      <c r="B492" s="9" t="s">
        <v>96</v>
      </c>
      <c r="C492" s="9" t="s">
        <v>193</v>
      </c>
      <c r="D492" s="23"/>
      <c r="E492" s="42"/>
      <c r="F492" s="43"/>
      <c r="G492" s="42"/>
      <c r="H492" s="43"/>
      <c r="I492" s="25" t="s">
        <v>15</v>
      </c>
      <c r="J492" s="34" t="str">
        <f>IF(E492="","",raw_data!C484)</f>
        <v/>
      </c>
      <c r="K492" s="46"/>
      <c r="L492" s="87"/>
      <c r="M492" s="19" t="str">
        <f>IF(E492="","",raw_data!F484)</f>
        <v/>
      </c>
      <c r="N492" s="20" t="str">
        <f t="shared" si="20"/>
        <v/>
      </c>
      <c r="O492" s="90"/>
      <c r="P492" s="91"/>
      <c r="Q492" s="91"/>
      <c r="R492" s="91"/>
      <c r="S492" s="41" t="str">
        <f t="shared" si="19"/>
        <v/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2.75" customHeight="1" x14ac:dyDescent="0.2">
      <c r="A493" s="9">
        <v>19191</v>
      </c>
      <c r="B493" s="9" t="s">
        <v>96</v>
      </c>
      <c r="C493" s="9" t="s">
        <v>56</v>
      </c>
      <c r="D493" s="23"/>
      <c r="E493" s="42"/>
      <c r="F493" s="43"/>
      <c r="G493" s="42"/>
      <c r="H493" s="43"/>
      <c r="I493" s="25" t="s">
        <v>15</v>
      </c>
      <c r="J493" s="34" t="str">
        <f>IF(E493="","",raw_data!C485)</f>
        <v/>
      </c>
      <c r="K493" s="46"/>
      <c r="L493" s="87"/>
      <c r="M493" s="19" t="str">
        <f>IF(E493="","",raw_data!F485)</f>
        <v/>
      </c>
      <c r="N493" s="20" t="str">
        <f t="shared" si="20"/>
        <v/>
      </c>
      <c r="O493" s="90"/>
      <c r="P493" s="91"/>
      <c r="Q493" s="91"/>
      <c r="R493" s="91"/>
      <c r="S493" s="41" t="str">
        <f t="shared" si="19"/>
        <v/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2.75" customHeight="1" x14ac:dyDescent="0.2">
      <c r="A494" s="9">
        <v>19192</v>
      </c>
      <c r="B494" s="9" t="s">
        <v>159</v>
      </c>
      <c r="C494" s="9" t="s">
        <v>77</v>
      </c>
      <c r="D494" s="23"/>
      <c r="E494" s="42"/>
      <c r="F494" s="43"/>
      <c r="G494" s="42"/>
      <c r="H494" s="43"/>
      <c r="I494" s="25" t="s">
        <v>15</v>
      </c>
      <c r="J494" s="34" t="str">
        <f>IF(E494="","",raw_data!C486)</f>
        <v/>
      </c>
      <c r="K494" s="46"/>
      <c r="L494" s="87"/>
      <c r="M494" s="19" t="str">
        <f>IF(E494="","",raw_data!F486)</f>
        <v/>
      </c>
      <c r="N494" s="20" t="str">
        <f t="shared" si="20"/>
        <v/>
      </c>
      <c r="O494" s="90"/>
      <c r="P494" s="91"/>
      <c r="Q494" s="91"/>
      <c r="R494" s="91"/>
      <c r="S494" s="41" t="str">
        <f t="shared" si="19"/>
        <v/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2.75" customHeight="1" x14ac:dyDescent="0.2">
      <c r="A495" s="9">
        <v>19193</v>
      </c>
      <c r="B495" s="9" t="s">
        <v>159</v>
      </c>
      <c r="C495" s="9" t="s">
        <v>19</v>
      </c>
      <c r="D495" s="23"/>
      <c r="E495" s="42"/>
      <c r="F495" s="43"/>
      <c r="G495" s="42"/>
      <c r="H495" s="43"/>
      <c r="I495" s="25" t="s">
        <v>15</v>
      </c>
      <c r="J495" s="34" t="str">
        <f>IF(E495="","",raw_data!C487)</f>
        <v/>
      </c>
      <c r="K495" s="46"/>
      <c r="L495" s="87"/>
      <c r="M495" s="19" t="str">
        <f>IF(E495="","",raw_data!F487)</f>
        <v/>
      </c>
      <c r="N495" s="20" t="str">
        <f t="shared" si="20"/>
        <v/>
      </c>
      <c r="O495" s="90"/>
      <c r="P495" s="91"/>
      <c r="Q495" s="91"/>
      <c r="R495" s="91"/>
      <c r="S495" s="41" t="str">
        <f t="shared" si="19"/>
        <v/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2.75" customHeight="1" x14ac:dyDescent="0.2">
      <c r="A496" s="9">
        <v>19194</v>
      </c>
      <c r="B496" s="9" t="s">
        <v>159</v>
      </c>
      <c r="C496" s="9" t="s">
        <v>240</v>
      </c>
      <c r="D496" s="23"/>
      <c r="E496" s="42"/>
      <c r="F496" s="43"/>
      <c r="G496" s="42"/>
      <c r="H496" s="43"/>
      <c r="I496" s="25" t="s">
        <v>15</v>
      </c>
      <c r="J496" s="34" t="str">
        <f>IF(E496="","",raw_data!C488)</f>
        <v/>
      </c>
      <c r="K496" s="46"/>
      <c r="L496" s="87"/>
      <c r="M496" s="19" t="str">
        <f>IF(E496="","",raw_data!F488)</f>
        <v/>
      </c>
      <c r="N496" s="20" t="str">
        <f t="shared" si="20"/>
        <v/>
      </c>
      <c r="O496" s="90"/>
      <c r="P496" s="91"/>
      <c r="Q496" s="91"/>
      <c r="R496" s="91"/>
      <c r="S496" s="41" t="str">
        <f t="shared" si="19"/>
        <v/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2.75" customHeight="1" x14ac:dyDescent="0.2">
      <c r="A497" s="9">
        <v>19195</v>
      </c>
      <c r="B497" s="9" t="s">
        <v>159</v>
      </c>
      <c r="C497" s="9" t="s">
        <v>160</v>
      </c>
      <c r="D497" s="23"/>
      <c r="E497" s="42"/>
      <c r="F497" s="43"/>
      <c r="G497" s="42"/>
      <c r="H497" s="43"/>
      <c r="I497" s="25" t="s">
        <v>15</v>
      </c>
      <c r="J497" s="34" t="str">
        <f>IF(E497="","",raw_data!C489)</f>
        <v/>
      </c>
      <c r="K497" s="46"/>
      <c r="L497" s="87"/>
      <c r="M497" s="19" t="str">
        <f>IF(E497="","",raw_data!F489)</f>
        <v/>
      </c>
      <c r="N497" s="20" t="str">
        <f t="shared" si="20"/>
        <v/>
      </c>
      <c r="O497" s="90"/>
      <c r="P497" s="91"/>
      <c r="Q497" s="91"/>
      <c r="R497" s="91"/>
      <c r="S497" s="41" t="str">
        <f t="shared" si="19"/>
        <v/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2.75" customHeight="1" x14ac:dyDescent="0.2">
      <c r="A498" s="9">
        <v>19196</v>
      </c>
      <c r="B498" s="9" t="s">
        <v>159</v>
      </c>
      <c r="C498" s="9" t="s">
        <v>161</v>
      </c>
      <c r="D498" s="23"/>
      <c r="E498" s="42"/>
      <c r="F498" s="43"/>
      <c r="G498" s="42"/>
      <c r="H498" s="43"/>
      <c r="I498" s="25" t="s">
        <v>15</v>
      </c>
      <c r="J498" s="34" t="str">
        <f>IF(E498="","",raw_data!C490)</f>
        <v/>
      </c>
      <c r="K498" s="46"/>
      <c r="L498" s="87"/>
      <c r="M498" s="19" t="str">
        <f>IF(E498="","",raw_data!F490)</f>
        <v/>
      </c>
      <c r="N498" s="20" t="str">
        <f t="shared" si="20"/>
        <v/>
      </c>
      <c r="O498" s="90"/>
      <c r="P498" s="91"/>
      <c r="Q498" s="91"/>
      <c r="R498" s="91"/>
      <c r="S498" s="41" t="str">
        <f t="shared" si="19"/>
        <v/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2.75" customHeight="1" x14ac:dyDescent="0.2">
      <c r="A499" s="9">
        <v>19197</v>
      </c>
      <c r="B499" s="9" t="s">
        <v>159</v>
      </c>
      <c r="C499" s="9" t="s">
        <v>260</v>
      </c>
      <c r="D499" s="23"/>
      <c r="E499" s="42"/>
      <c r="F499" s="43"/>
      <c r="G499" s="42"/>
      <c r="H499" s="43"/>
      <c r="I499" s="25" t="s">
        <v>15</v>
      </c>
      <c r="J499" s="34" t="str">
        <f>IF(E499="","",raw_data!C491)</f>
        <v/>
      </c>
      <c r="K499" s="46"/>
      <c r="L499" s="87"/>
      <c r="M499" s="19" t="str">
        <f>IF(E499="","",raw_data!F491)</f>
        <v/>
      </c>
      <c r="N499" s="20" t="str">
        <f t="shared" si="20"/>
        <v/>
      </c>
      <c r="O499" s="90"/>
      <c r="P499" s="91"/>
      <c r="Q499" s="91"/>
      <c r="R499" s="91"/>
      <c r="S499" s="41" t="str">
        <f t="shared" si="19"/>
        <v/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2.75" customHeight="1" x14ac:dyDescent="0.2">
      <c r="A500" s="9">
        <v>19198</v>
      </c>
      <c r="B500" s="9" t="s">
        <v>159</v>
      </c>
      <c r="C500" s="9" t="s">
        <v>98</v>
      </c>
      <c r="D500" s="23"/>
      <c r="E500" s="42"/>
      <c r="F500" s="43"/>
      <c r="G500" s="42"/>
      <c r="H500" s="43"/>
      <c r="I500" s="25" t="s">
        <v>15</v>
      </c>
      <c r="J500" s="34" t="str">
        <f>IF(E500="","",raw_data!C492)</f>
        <v/>
      </c>
      <c r="K500" s="46"/>
      <c r="L500" s="87"/>
      <c r="M500" s="19" t="str">
        <f>IF(E500="","",raw_data!F492)</f>
        <v/>
      </c>
      <c r="N500" s="20" t="str">
        <f t="shared" si="20"/>
        <v/>
      </c>
      <c r="O500" s="90"/>
      <c r="P500" s="91"/>
      <c r="Q500" s="91"/>
      <c r="R500" s="91"/>
      <c r="S500" s="41" t="str">
        <f t="shared" si="19"/>
        <v/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2.75" customHeight="1" x14ac:dyDescent="0.2">
      <c r="A501" s="9">
        <v>19199</v>
      </c>
      <c r="B501" s="9" t="s">
        <v>159</v>
      </c>
      <c r="C501" s="9" t="s">
        <v>261</v>
      </c>
      <c r="D501" s="23"/>
      <c r="E501" s="42"/>
      <c r="F501" s="43"/>
      <c r="G501" s="42"/>
      <c r="H501" s="43"/>
      <c r="I501" s="25" t="s">
        <v>15</v>
      </c>
      <c r="J501" s="34" t="str">
        <f>IF(E501="","",raw_data!C493)</f>
        <v/>
      </c>
      <c r="K501" s="46"/>
      <c r="L501" s="87"/>
      <c r="M501" s="19" t="str">
        <f>IF(E501="","",raw_data!F493)</f>
        <v/>
      </c>
      <c r="N501" s="20" t="str">
        <f t="shared" si="20"/>
        <v/>
      </c>
      <c r="O501" s="90"/>
      <c r="P501" s="91"/>
      <c r="Q501" s="91"/>
      <c r="R501" s="91"/>
      <c r="S501" s="41" t="str">
        <f t="shared" si="19"/>
        <v/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2.75" customHeight="1" x14ac:dyDescent="0.2">
      <c r="A502" s="9">
        <v>19200</v>
      </c>
      <c r="B502" s="9" t="s">
        <v>159</v>
      </c>
      <c r="C502" s="9" t="s">
        <v>262</v>
      </c>
      <c r="D502" s="23"/>
      <c r="E502" s="42"/>
      <c r="F502" s="43"/>
      <c r="G502" s="42"/>
      <c r="H502" s="43"/>
      <c r="I502" s="25" t="s">
        <v>15</v>
      </c>
      <c r="J502" s="34" t="str">
        <f>IF(E502="","",raw_data!C494)</f>
        <v/>
      </c>
      <c r="K502" s="46"/>
      <c r="L502" s="87"/>
      <c r="M502" s="19" t="str">
        <f>IF(E502="","",raw_data!F494)</f>
        <v/>
      </c>
      <c r="N502" s="20" t="str">
        <f t="shared" si="20"/>
        <v/>
      </c>
      <c r="O502" s="90"/>
      <c r="P502" s="91"/>
      <c r="Q502" s="91"/>
      <c r="R502" s="91"/>
      <c r="S502" s="41" t="str">
        <f t="shared" si="19"/>
        <v/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2.75" customHeight="1" x14ac:dyDescent="0.2">
      <c r="A503" s="9">
        <v>19201</v>
      </c>
      <c r="B503" s="9" t="s">
        <v>159</v>
      </c>
      <c r="C503" s="9" t="s">
        <v>263</v>
      </c>
      <c r="D503" s="23"/>
      <c r="E503" s="42"/>
      <c r="F503" s="43"/>
      <c r="G503" s="42"/>
      <c r="H503" s="43"/>
      <c r="I503" s="25" t="s">
        <v>15</v>
      </c>
      <c r="J503" s="34" t="str">
        <f>IF(E503="","",raw_data!C495)</f>
        <v/>
      </c>
      <c r="K503" s="46"/>
      <c r="L503" s="87"/>
      <c r="M503" s="19" t="str">
        <f>IF(E503="","",raw_data!F495)</f>
        <v/>
      </c>
      <c r="N503" s="20" t="str">
        <f t="shared" si="20"/>
        <v/>
      </c>
      <c r="O503" s="90"/>
      <c r="P503" s="91"/>
      <c r="Q503" s="91"/>
      <c r="R503" s="91"/>
      <c r="S503" s="41" t="str">
        <f t="shared" si="19"/>
        <v/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2.75" customHeight="1" x14ac:dyDescent="0.2">
      <c r="A504" s="9">
        <v>19202</v>
      </c>
      <c r="B504" s="9" t="s">
        <v>159</v>
      </c>
      <c r="C504" s="9" t="s">
        <v>99</v>
      </c>
      <c r="D504" s="23"/>
      <c r="E504" s="42"/>
      <c r="F504" s="43"/>
      <c r="G504" s="42"/>
      <c r="H504" s="43"/>
      <c r="I504" s="25" t="s">
        <v>15</v>
      </c>
      <c r="J504" s="34" t="str">
        <f>IF(E504="","",raw_data!C496)</f>
        <v/>
      </c>
      <c r="K504" s="46"/>
      <c r="L504" s="87"/>
      <c r="M504" s="19" t="str">
        <f>IF(E504="","",raw_data!F496)</f>
        <v/>
      </c>
      <c r="N504" s="20" t="str">
        <f t="shared" si="20"/>
        <v/>
      </c>
      <c r="O504" s="90"/>
      <c r="P504" s="91"/>
      <c r="Q504" s="91"/>
      <c r="R504" s="91"/>
      <c r="S504" s="41" t="str">
        <f t="shared" si="19"/>
        <v/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2.75" customHeight="1" x14ac:dyDescent="0.2">
      <c r="A505" s="9">
        <v>19203</v>
      </c>
      <c r="B505" s="9" t="s">
        <v>159</v>
      </c>
      <c r="C505" s="9" t="s">
        <v>264</v>
      </c>
      <c r="D505" s="23"/>
      <c r="E505" s="42"/>
      <c r="F505" s="43"/>
      <c r="G505" s="42"/>
      <c r="H505" s="43"/>
      <c r="I505" s="25" t="s">
        <v>15</v>
      </c>
      <c r="J505" s="34" t="str">
        <f>IF(E505="","",raw_data!C497)</f>
        <v/>
      </c>
      <c r="K505" s="46"/>
      <c r="L505" s="87"/>
      <c r="M505" s="19" t="str">
        <f>IF(E505="","",raw_data!F497)</f>
        <v/>
      </c>
      <c r="N505" s="20" t="str">
        <f t="shared" si="20"/>
        <v/>
      </c>
      <c r="O505" s="90"/>
      <c r="P505" s="91"/>
      <c r="Q505" s="91"/>
      <c r="R505" s="91"/>
      <c r="S505" s="41" t="str">
        <f t="shared" si="19"/>
        <v/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2.75" customHeight="1" x14ac:dyDescent="0.2">
      <c r="A506" s="9">
        <v>19204</v>
      </c>
      <c r="B506" s="9" t="s">
        <v>159</v>
      </c>
      <c r="C506" s="9" t="s">
        <v>265</v>
      </c>
      <c r="D506" s="23"/>
      <c r="E506" s="42"/>
      <c r="F506" s="43"/>
      <c r="G506" s="42"/>
      <c r="H506" s="43"/>
      <c r="I506" s="25" t="s">
        <v>15</v>
      </c>
      <c r="J506" s="34" t="str">
        <f>IF(E506="","",raw_data!C498)</f>
        <v/>
      </c>
      <c r="K506" s="46"/>
      <c r="L506" s="87"/>
      <c r="M506" s="19" t="str">
        <f>IF(E506="","",raw_data!F498)</f>
        <v/>
      </c>
      <c r="N506" s="20" t="str">
        <f t="shared" si="20"/>
        <v/>
      </c>
      <c r="O506" s="90"/>
      <c r="P506" s="91"/>
      <c r="Q506" s="91"/>
      <c r="R506" s="91"/>
      <c r="S506" s="41" t="str">
        <f t="shared" si="19"/>
        <v/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2.75" customHeight="1" x14ac:dyDescent="0.2">
      <c r="A507" s="9">
        <v>19205</v>
      </c>
      <c r="B507" s="9" t="s">
        <v>159</v>
      </c>
      <c r="C507" s="9" t="s">
        <v>214</v>
      </c>
      <c r="D507" s="23"/>
      <c r="E507" s="42"/>
      <c r="F507" s="43"/>
      <c r="G507" s="42"/>
      <c r="H507" s="43"/>
      <c r="I507" s="25" t="s">
        <v>15</v>
      </c>
      <c r="J507" s="34" t="str">
        <f>IF(E507="","",raw_data!C499)</f>
        <v/>
      </c>
      <c r="K507" s="46"/>
      <c r="L507" s="87"/>
      <c r="M507" s="19" t="str">
        <f>IF(E507="","",raw_data!F499)</f>
        <v/>
      </c>
      <c r="N507" s="20" t="str">
        <f t="shared" si="20"/>
        <v/>
      </c>
      <c r="O507" s="90"/>
      <c r="P507" s="91"/>
      <c r="Q507" s="91"/>
      <c r="R507" s="91"/>
      <c r="S507" s="41" t="str">
        <f t="shared" si="19"/>
        <v/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2.75" customHeight="1" x14ac:dyDescent="0.2">
      <c r="A508" s="9">
        <v>19206</v>
      </c>
      <c r="B508" s="9" t="s">
        <v>159</v>
      </c>
      <c r="C508" s="9" t="s">
        <v>101</v>
      </c>
      <c r="D508" s="23"/>
      <c r="E508" s="42"/>
      <c r="F508" s="43"/>
      <c r="G508" s="42"/>
      <c r="H508" s="43"/>
      <c r="I508" s="25" t="s">
        <v>15</v>
      </c>
      <c r="J508" s="34" t="str">
        <f>IF(E508="","",raw_data!C500)</f>
        <v/>
      </c>
      <c r="K508" s="46"/>
      <c r="L508" s="87"/>
      <c r="M508" s="19" t="str">
        <f>IF(E508="","",raw_data!F500)</f>
        <v/>
      </c>
      <c r="N508" s="20" t="str">
        <f t="shared" si="20"/>
        <v/>
      </c>
      <c r="O508" s="90"/>
      <c r="P508" s="91"/>
      <c r="Q508" s="91"/>
      <c r="R508" s="91"/>
      <c r="S508" s="41" t="str">
        <f t="shared" si="19"/>
        <v/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2.75" customHeight="1" x14ac:dyDescent="0.2">
      <c r="A509" s="9">
        <v>19207</v>
      </c>
      <c r="B509" s="9" t="s">
        <v>159</v>
      </c>
      <c r="C509" s="9" t="s">
        <v>272</v>
      </c>
      <c r="D509" s="23"/>
      <c r="E509" s="42"/>
      <c r="F509" s="43"/>
      <c r="G509" s="42"/>
      <c r="H509" s="43"/>
      <c r="I509" s="25" t="s">
        <v>15</v>
      </c>
      <c r="J509" s="34" t="str">
        <f>IF(E509="","",raw_data!C501)</f>
        <v/>
      </c>
      <c r="K509" s="46"/>
      <c r="L509" s="87"/>
      <c r="M509" s="19" t="str">
        <f>IF(E509="","",raw_data!F501)</f>
        <v/>
      </c>
      <c r="N509" s="20" t="str">
        <f t="shared" si="20"/>
        <v/>
      </c>
      <c r="O509" s="90"/>
      <c r="P509" s="91"/>
      <c r="Q509" s="91"/>
      <c r="R509" s="91"/>
      <c r="S509" s="41" t="str">
        <f t="shared" si="19"/>
        <v/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2.75" customHeight="1" x14ac:dyDescent="0.2">
      <c r="A510" s="9">
        <v>19208</v>
      </c>
      <c r="B510" s="9" t="s">
        <v>159</v>
      </c>
      <c r="C510" s="9" t="s">
        <v>273</v>
      </c>
      <c r="D510" s="23"/>
      <c r="E510" s="42"/>
      <c r="F510" s="43"/>
      <c r="G510" s="42"/>
      <c r="H510" s="43"/>
      <c r="I510" s="25" t="s">
        <v>15</v>
      </c>
      <c r="J510" s="34" t="str">
        <f>IF(E510="","",raw_data!C502)</f>
        <v/>
      </c>
      <c r="K510" s="46"/>
      <c r="L510" s="87"/>
      <c r="M510" s="19" t="str">
        <f>IF(E510="","",raw_data!F502)</f>
        <v/>
      </c>
      <c r="N510" s="20" t="str">
        <f t="shared" si="20"/>
        <v/>
      </c>
      <c r="O510" s="90"/>
      <c r="P510" s="91"/>
      <c r="Q510" s="91"/>
      <c r="R510" s="91"/>
      <c r="S510" s="41" t="str">
        <f t="shared" si="19"/>
        <v/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2.75" customHeight="1" x14ac:dyDescent="0.2">
      <c r="A511" s="9">
        <v>19209</v>
      </c>
      <c r="B511" s="9" t="s">
        <v>159</v>
      </c>
      <c r="C511" s="9" t="s">
        <v>443</v>
      </c>
      <c r="D511" s="23"/>
      <c r="E511" s="42"/>
      <c r="F511" s="43"/>
      <c r="G511" s="42"/>
      <c r="H511" s="43"/>
      <c r="I511" s="25" t="s">
        <v>15</v>
      </c>
      <c r="J511" s="34" t="str">
        <f>IF(E511="","",raw_data!C503)</f>
        <v/>
      </c>
      <c r="K511" s="46"/>
      <c r="L511" s="87"/>
      <c r="M511" s="19" t="str">
        <f>IF(E511="","",raw_data!F503)</f>
        <v/>
      </c>
      <c r="N511" s="20" t="str">
        <f t="shared" si="20"/>
        <v/>
      </c>
      <c r="O511" s="90"/>
      <c r="P511" s="91"/>
      <c r="Q511" s="91"/>
      <c r="R511" s="91"/>
      <c r="S511" s="41" t="str">
        <f t="shared" si="19"/>
        <v/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2.75" customHeight="1" x14ac:dyDescent="0.2">
      <c r="A512" s="9">
        <v>19210</v>
      </c>
      <c r="B512" s="9" t="s">
        <v>159</v>
      </c>
      <c r="C512" s="9" t="s">
        <v>346</v>
      </c>
      <c r="D512" s="23"/>
      <c r="E512" s="42"/>
      <c r="F512" s="43"/>
      <c r="G512" s="42"/>
      <c r="H512" s="43"/>
      <c r="I512" s="25" t="s">
        <v>15</v>
      </c>
      <c r="J512" s="34" t="str">
        <f>IF(E512="","",raw_data!C504)</f>
        <v/>
      </c>
      <c r="K512" s="46"/>
      <c r="L512" s="87"/>
      <c r="M512" s="19" t="str">
        <f>IF(E512="","",raw_data!F504)</f>
        <v/>
      </c>
      <c r="N512" s="20" t="str">
        <f t="shared" si="20"/>
        <v/>
      </c>
      <c r="O512" s="90"/>
      <c r="P512" s="91"/>
      <c r="Q512" s="91"/>
      <c r="R512" s="91"/>
      <c r="S512" s="41" t="str">
        <f t="shared" si="19"/>
        <v/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2.75" customHeight="1" x14ac:dyDescent="0.2">
      <c r="A513" s="9">
        <v>19211</v>
      </c>
      <c r="B513" s="9" t="s">
        <v>159</v>
      </c>
      <c r="C513" s="9" t="s">
        <v>347</v>
      </c>
      <c r="D513" s="23"/>
      <c r="E513" s="42"/>
      <c r="F513" s="43"/>
      <c r="G513" s="42"/>
      <c r="H513" s="43"/>
      <c r="I513" s="25" t="s">
        <v>15</v>
      </c>
      <c r="J513" s="34" t="str">
        <f>IF(E513="","",raw_data!C505)</f>
        <v/>
      </c>
      <c r="K513" s="46"/>
      <c r="L513" s="87"/>
      <c r="M513" s="19" t="str">
        <f>IF(E513="","",raw_data!F505)</f>
        <v/>
      </c>
      <c r="N513" s="20" t="str">
        <f t="shared" si="20"/>
        <v/>
      </c>
      <c r="O513" s="90"/>
      <c r="P513" s="91"/>
      <c r="Q513" s="91"/>
      <c r="R513" s="91"/>
      <c r="S513" s="41" t="str">
        <f t="shared" si="19"/>
        <v/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2.75" customHeight="1" x14ac:dyDescent="0.2">
      <c r="A514" s="9">
        <v>19212</v>
      </c>
      <c r="B514" s="9" t="s">
        <v>159</v>
      </c>
      <c r="C514" s="9" t="s">
        <v>348</v>
      </c>
      <c r="D514" s="23"/>
      <c r="E514" s="42"/>
      <c r="F514" s="43"/>
      <c r="G514" s="42"/>
      <c r="H514" s="43"/>
      <c r="I514" s="25" t="s">
        <v>15</v>
      </c>
      <c r="J514" s="34" t="str">
        <f>IF(E514="","",raw_data!C506)</f>
        <v/>
      </c>
      <c r="K514" s="46"/>
      <c r="L514" s="87"/>
      <c r="M514" s="19" t="str">
        <f>IF(E514="","",raw_data!F506)</f>
        <v/>
      </c>
      <c r="N514" s="20" t="str">
        <f t="shared" si="20"/>
        <v/>
      </c>
      <c r="O514" s="90"/>
      <c r="P514" s="91"/>
      <c r="Q514" s="91"/>
      <c r="R514" s="91"/>
      <c r="S514" s="41" t="str">
        <f t="shared" si="19"/>
        <v/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2.75" customHeight="1" x14ac:dyDescent="0.2">
      <c r="A515" s="9">
        <v>19213</v>
      </c>
      <c r="B515" s="9" t="s">
        <v>159</v>
      </c>
      <c r="C515" s="9" t="s">
        <v>349</v>
      </c>
      <c r="D515" s="23"/>
      <c r="E515" s="42"/>
      <c r="F515" s="43"/>
      <c r="G515" s="42"/>
      <c r="H515" s="43"/>
      <c r="I515" s="25" t="s">
        <v>15</v>
      </c>
      <c r="J515" s="34" t="str">
        <f>IF(E515="","",raw_data!C507)</f>
        <v/>
      </c>
      <c r="K515" s="46"/>
      <c r="L515" s="87"/>
      <c r="M515" s="19" t="str">
        <f>IF(E515="","",raw_data!F507)</f>
        <v/>
      </c>
      <c r="N515" s="20" t="str">
        <f t="shared" si="20"/>
        <v/>
      </c>
      <c r="O515" s="90"/>
      <c r="P515" s="91"/>
      <c r="Q515" s="91"/>
      <c r="R515" s="91"/>
      <c r="S515" s="41" t="str">
        <f t="shared" si="19"/>
        <v/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2.75" customHeight="1" x14ac:dyDescent="0.2">
      <c r="A516" s="9">
        <v>19214</v>
      </c>
      <c r="B516" s="9" t="s">
        <v>159</v>
      </c>
      <c r="C516" s="9" t="s">
        <v>350</v>
      </c>
      <c r="D516" s="23"/>
      <c r="E516" s="42"/>
      <c r="F516" s="43"/>
      <c r="G516" s="42"/>
      <c r="H516" s="43"/>
      <c r="I516" s="25" t="s">
        <v>15</v>
      </c>
      <c r="J516" s="34" t="str">
        <f>IF(E516="","",raw_data!C508)</f>
        <v/>
      </c>
      <c r="K516" s="46"/>
      <c r="L516" s="87"/>
      <c r="M516" s="19" t="str">
        <f>IF(E516="","",raw_data!F508)</f>
        <v/>
      </c>
      <c r="N516" s="20" t="str">
        <f t="shared" si="20"/>
        <v/>
      </c>
      <c r="O516" s="90"/>
      <c r="P516" s="91"/>
      <c r="Q516" s="91"/>
      <c r="R516" s="91"/>
      <c r="S516" s="41" t="str">
        <f t="shared" si="19"/>
        <v/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2.75" customHeight="1" x14ac:dyDescent="0.2">
      <c r="A517" s="9">
        <v>19215</v>
      </c>
      <c r="B517" s="9" t="s">
        <v>159</v>
      </c>
      <c r="C517" s="9" t="s">
        <v>351</v>
      </c>
      <c r="D517" s="23"/>
      <c r="E517" s="42"/>
      <c r="F517" s="43"/>
      <c r="G517" s="42"/>
      <c r="H517" s="43"/>
      <c r="I517" s="25" t="s">
        <v>15</v>
      </c>
      <c r="J517" s="34" t="str">
        <f>IF(E517="","",raw_data!C509)</f>
        <v/>
      </c>
      <c r="K517" s="46"/>
      <c r="L517" s="87"/>
      <c r="M517" s="19" t="str">
        <f>IF(E517="","",raw_data!F509)</f>
        <v/>
      </c>
      <c r="N517" s="20" t="str">
        <f t="shared" si="20"/>
        <v/>
      </c>
      <c r="O517" s="90"/>
      <c r="P517" s="91"/>
      <c r="Q517" s="91"/>
      <c r="R517" s="91"/>
      <c r="S517" s="41" t="str">
        <f t="shared" si="19"/>
        <v/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2.75" customHeight="1" x14ac:dyDescent="0.2">
      <c r="A518" s="9">
        <v>19216</v>
      </c>
      <c r="B518" s="9" t="s">
        <v>159</v>
      </c>
      <c r="C518" s="9" t="s">
        <v>352</v>
      </c>
      <c r="D518" s="23"/>
      <c r="E518" s="42"/>
      <c r="F518" s="43"/>
      <c r="G518" s="42"/>
      <c r="H518" s="43"/>
      <c r="I518" s="25" t="s">
        <v>15</v>
      </c>
      <c r="J518" s="34" t="str">
        <f>IF(E518="","",raw_data!C510)</f>
        <v/>
      </c>
      <c r="K518" s="46"/>
      <c r="L518" s="87"/>
      <c r="M518" s="19" t="str">
        <f>IF(E518="","",raw_data!F510)</f>
        <v/>
      </c>
      <c r="N518" s="20" t="str">
        <f t="shared" si="20"/>
        <v/>
      </c>
      <c r="O518" s="90"/>
      <c r="P518" s="91"/>
      <c r="Q518" s="91"/>
      <c r="R518" s="91"/>
      <c r="S518" s="41" t="str">
        <f t="shared" si="19"/>
        <v/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2.75" customHeight="1" x14ac:dyDescent="0.2">
      <c r="A519" s="9">
        <v>19217</v>
      </c>
      <c r="B519" s="9" t="s">
        <v>159</v>
      </c>
      <c r="C519" s="9" t="s">
        <v>353</v>
      </c>
      <c r="D519" s="23"/>
      <c r="E519" s="42"/>
      <c r="F519" s="43"/>
      <c r="G519" s="42"/>
      <c r="H519" s="43"/>
      <c r="I519" s="25" t="s">
        <v>15</v>
      </c>
      <c r="J519" s="34" t="str">
        <f>IF(E519="","",raw_data!C511)</f>
        <v/>
      </c>
      <c r="K519" s="46"/>
      <c r="L519" s="87"/>
      <c r="M519" s="19" t="str">
        <f>IF(E519="","",raw_data!F511)</f>
        <v/>
      </c>
      <c r="N519" s="20" t="str">
        <f t="shared" si="20"/>
        <v/>
      </c>
      <c r="O519" s="90"/>
      <c r="P519" s="91"/>
      <c r="Q519" s="91"/>
      <c r="R519" s="91"/>
      <c r="S519" s="41" t="str">
        <f t="shared" si="19"/>
        <v/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2.75" customHeight="1" x14ac:dyDescent="0.2">
      <c r="A520" s="9">
        <v>19218</v>
      </c>
      <c r="B520" s="9" t="s">
        <v>159</v>
      </c>
      <c r="C520" s="9" t="s">
        <v>354</v>
      </c>
      <c r="D520" s="23"/>
      <c r="E520" s="42"/>
      <c r="F520" s="43"/>
      <c r="G520" s="42"/>
      <c r="H520" s="43"/>
      <c r="I520" s="25" t="s">
        <v>15</v>
      </c>
      <c r="J520" s="34" t="str">
        <f>IF(E520="","",raw_data!C512)</f>
        <v/>
      </c>
      <c r="K520" s="46"/>
      <c r="L520" s="87"/>
      <c r="M520" s="19" t="str">
        <f>IF(E520="","",raw_data!F512)</f>
        <v/>
      </c>
      <c r="N520" s="20" t="str">
        <f t="shared" si="20"/>
        <v/>
      </c>
      <c r="O520" s="90"/>
      <c r="P520" s="91"/>
      <c r="Q520" s="91"/>
      <c r="R520" s="91"/>
      <c r="S520" s="41" t="str">
        <f t="shared" si="19"/>
        <v/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2.75" customHeight="1" x14ac:dyDescent="0.2">
      <c r="A521" s="9">
        <v>19219</v>
      </c>
      <c r="B521" s="9" t="s">
        <v>159</v>
      </c>
      <c r="C521" s="9" t="s">
        <v>243</v>
      </c>
      <c r="D521" s="23"/>
      <c r="E521" s="42"/>
      <c r="F521" s="43"/>
      <c r="G521" s="42"/>
      <c r="H521" s="43"/>
      <c r="I521" s="25" t="s">
        <v>15</v>
      </c>
      <c r="J521" s="34" t="str">
        <f>IF(E521="","",raw_data!C513)</f>
        <v/>
      </c>
      <c r="K521" s="46"/>
      <c r="L521" s="87"/>
      <c r="M521" s="19" t="str">
        <f>IF(E521="","",raw_data!F513)</f>
        <v/>
      </c>
      <c r="N521" s="20" t="str">
        <f t="shared" si="20"/>
        <v/>
      </c>
      <c r="O521" s="90"/>
      <c r="P521" s="91"/>
      <c r="Q521" s="91"/>
      <c r="R521" s="91"/>
      <c r="S521" s="41" t="str">
        <f t="shared" si="19"/>
        <v/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2.75" customHeight="1" x14ac:dyDescent="0.2">
      <c r="A522" s="9">
        <v>19220</v>
      </c>
      <c r="B522" s="9" t="s">
        <v>159</v>
      </c>
      <c r="C522" s="9" t="s">
        <v>244</v>
      </c>
      <c r="D522" s="23"/>
      <c r="E522" s="42"/>
      <c r="F522" s="43"/>
      <c r="G522" s="42"/>
      <c r="H522" s="43"/>
      <c r="I522" s="25" t="s">
        <v>15</v>
      </c>
      <c r="J522" s="34" t="str">
        <f>IF(E522="","",raw_data!C514)</f>
        <v/>
      </c>
      <c r="K522" s="46"/>
      <c r="L522" s="87"/>
      <c r="M522" s="19" t="str">
        <f>IF(E522="","",raw_data!F514)</f>
        <v/>
      </c>
      <c r="N522" s="20" t="str">
        <f t="shared" si="20"/>
        <v/>
      </c>
      <c r="O522" s="90"/>
      <c r="P522" s="91"/>
      <c r="Q522" s="91"/>
      <c r="R522" s="91"/>
      <c r="S522" s="41" t="str">
        <f t="shared" ref="S522:S585" si="21">IF(E522="","",IF(OR(NOT(ISNUMBER(N522)),N522&lt;=(1-E522)),"erfüllt",IF(G522="Fehler","mit Fehler",IF(G522="Warnung","mit Warnung",""))))</f>
        <v/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2.75" customHeight="1" x14ac:dyDescent="0.2">
      <c r="A523" s="9">
        <v>19221</v>
      </c>
      <c r="B523" s="9" t="s">
        <v>159</v>
      </c>
      <c r="C523" s="9" t="s">
        <v>245</v>
      </c>
      <c r="D523" s="23"/>
      <c r="E523" s="42"/>
      <c r="F523" s="43"/>
      <c r="G523" s="42"/>
      <c r="H523" s="43"/>
      <c r="I523" s="25" t="s">
        <v>15</v>
      </c>
      <c r="J523" s="34" t="str">
        <f>IF(E523="","",raw_data!C515)</f>
        <v/>
      </c>
      <c r="K523" s="46"/>
      <c r="L523" s="87"/>
      <c r="M523" s="19" t="str">
        <f>IF(E523="","",raw_data!F515)</f>
        <v/>
      </c>
      <c r="N523" s="20" t="str">
        <f t="shared" ref="N523:N586" si="22">IF(E523="","",IFERROR(M523/J523,"-"))</f>
        <v/>
      </c>
      <c r="O523" s="90"/>
      <c r="P523" s="91"/>
      <c r="Q523" s="91"/>
      <c r="R523" s="91"/>
      <c r="S523" s="41" t="str">
        <f t="shared" si="21"/>
        <v/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2.75" customHeight="1" x14ac:dyDescent="0.2">
      <c r="A524" s="9">
        <v>19222</v>
      </c>
      <c r="B524" s="9" t="s">
        <v>159</v>
      </c>
      <c r="C524" s="9" t="s">
        <v>78</v>
      </c>
      <c r="D524" s="23"/>
      <c r="E524" s="42"/>
      <c r="F524" s="43"/>
      <c r="G524" s="42"/>
      <c r="H524" s="43"/>
      <c r="I524" s="25" t="s">
        <v>15</v>
      </c>
      <c r="J524" s="34" t="str">
        <f>IF(E524="","",raw_data!C516)</f>
        <v/>
      </c>
      <c r="K524" s="46"/>
      <c r="L524" s="87"/>
      <c r="M524" s="19" t="str">
        <f>IF(E524="","",raw_data!F516)</f>
        <v/>
      </c>
      <c r="N524" s="20" t="str">
        <f t="shared" si="22"/>
        <v/>
      </c>
      <c r="O524" s="90"/>
      <c r="P524" s="91"/>
      <c r="Q524" s="91"/>
      <c r="R524" s="91"/>
      <c r="S524" s="41" t="str">
        <f t="shared" si="21"/>
        <v/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2.75" customHeight="1" x14ac:dyDescent="0.2">
      <c r="A525" s="9">
        <v>19223</v>
      </c>
      <c r="B525" s="9" t="s">
        <v>159</v>
      </c>
      <c r="C525" s="9" t="s">
        <v>162</v>
      </c>
      <c r="D525" s="23"/>
      <c r="E525" s="42"/>
      <c r="F525" s="43"/>
      <c r="G525" s="42"/>
      <c r="H525" s="43"/>
      <c r="I525" s="25" t="s">
        <v>15</v>
      </c>
      <c r="J525" s="34" t="str">
        <f>IF(E525="","",raw_data!C517)</f>
        <v/>
      </c>
      <c r="K525" s="46"/>
      <c r="L525" s="87"/>
      <c r="M525" s="19" t="str">
        <f>IF(E525="","",raw_data!F517)</f>
        <v/>
      </c>
      <c r="N525" s="20" t="str">
        <f t="shared" si="22"/>
        <v/>
      </c>
      <c r="O525" s="90"/>
      <c r="P525" s="91"/>
      <c r="Q525" s="91"/>
      <c r="R525" s="91"/>
      <c r="S525" s="41" t="str">
        <f t="shared" si="21"/>
        <v/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2.75" customHeight="1" x14ac:dyDescent="0.2">
      <c r="A526" s="9">
        <v>19224</v>
      </c>
      <c r="B526" s="9" t="s">
        <v>159</v>
      </c>
      <c r="C526" s="9" t="s">
        <v>355</v>
      </c>
      <c r="D526" s="23"/>
      <c r="E526" s="42"/>
      <c r="F526" s="43"/>
      <c r="G526" s="42"/>
      <c r="H526" s="43"/>
      <c r="I526" s="25" t="s">
        <v>15</v>
      </c>
      <c r="J526" s="34" t="str">
        <f>IF(E526="","",raw_data!C518)</f>
        <v/>
      </c>
      <c r="K526" s="46"/>
      <c r="L526" s="87"/>
      <c r="M526" s="19" t="str">
        <f>IF(E526="","",raw_data!F518)</f>
        <v/>
      </c>
      <c r="N526" s="20" t="str">
        <f t="shared" si="22"/>
        <v/>
      </c>
      <c r="O526" s="90"/>
      <c r="P526" s="91"/>
      <c r="Q526" s="91"/>
      <c r="R526" s="91"/>
      <c r="S526" s="41" t="str">
        <f t="shared" si="21"/>
        <v/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2.75" customHeight="1" x14ac:dyDescent="0.2">
      <c r="A527" s="9">
        <v>19225</v>
      </c>
      <c r="B527" s="9" t="s">
        <v>159</v>
      </c>
      <c r="C527" s="9" t="s">
        <v>356</v>
      </c>
      <c r="D527" s="23"/>
      <c r="E527" s="42"/>
      <c r="F527" s="43"/>
      <c r="G527" s="42"/>
      <c r="H527" s="43"/>
      <c r="I527" s="25" t="s">
        <v>15</v>
      </c>
      <c r="J527" s="34" t="str">
        <f>IF(E527="","",raw_data!C519)</f>
        <v/>
      </c>
      <c r="K527" s="46"/>
      <c r="L527" s="87"/>
      <c r="M527" s="19" t="str">
        <f>IF(E527="","",raw_data!F519)</f>
        <v/>
      </c>
      <c r="N527" s="20" t="str">
        <f t="shared" si="22"/>
        <v/>
      </c>
      <c r="O527" s="90"/>
      <c r="P527" s="91"/>
      <c r="Q527" s="91"/>
      <c r="R527" s="91"/>
      <c r="S527" s="41" t="str">
        <f t="shared" si="21"/>
        <v/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2.75" customHeight="1" x14ac:dyDescent="0.2">
      <c r="A528" s="9">
        <v>19226</v>
      </c>
      <c r="B528" s="9" t="s">
        <v>159</v>
      </c>
      <c r="C528" s="9" t="s">
        <v>357</v>
      </c>
      <c r="D528" s="23"/>
      <c r="E528" s="42"/>
      <c r="F528" s="43"/>
      <c r="G528" s="42"/>
      <c r="H528" s="43"/>
      <c r="I528" s="25" t="s">
        <v>15</v>
      </c>
      <c r="J528" s="34" t="str">
        <f>IF(E528="","",raw_data!C520)</f>
        <v/>
      </c>
      <c r="K528" s="46"/>
      <c r="L528" s="87"/>
      <c r="M528" s="19" t="str">
        <f>IF(E528="","",raw_data!F520)</f>
        <v/>
      </c>
      <c r="N528" s="20" t="str">
        <f t="shared" si="22"/>
        <v/>
      </c>
      <c r="O528" s="90"/>
      <c r="P528" s="91"/>
      <c r="Q528" s="91"/>
      <c r="R528" s="91"/>
      <c r="S528" s="41" t="str">
        <f t="shared" si="21"/>
        <v/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2.75" customHeight="1" x14ac:dyDescent="0.2">
      <c r="A529" s="9">
        <v>19227</v>
      </c>
      <c r="B529" s="9" t="s">
        <v>159</v>
      </c>
      <c r="C529" s="9" t="s">
        <v>358</v>
      </c>
      <c r="D529" s="23"/>
      <c r="E529" s="42"/>
      <c r="F529" s="43"/>
      <c r="G529" s="42"/>
      <c r="H529" s="43"/>
      <c r="I529" s="25" t="s">
        <v>15</v>
      </c>
      <c r="J529" s="34" t="str">
        <f>IF(E529="","",raw_data!C521)</f>
        <v/>
      </c>
      <c r="K529" s="46"/>
      <c r="L529" s="87"/>
      <c r="M529" s="19" t="str">
        <f>IF(E529="","",raw_data!F521)</f>
        <v/>
      </c>
      <c r="N529" s="20" t="str">
        <f t="shared" si="22"/>
        <v/>
      </c>
      <c r="O529" s="90"/>
      <c r="P529" s="91"/>
      <c r="Q529" s="91"/>
      <c r="R529" s="91"/>
      <c r="S529" s="41" t="str">
        <f t="shared" si="21"/>
        <v/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2.75" customHeight="1" x14ac:dyDescent="0.2">
      <c r="A530" s="9">
        <v>19228</v>
      </c>
      <c r="B530" s="9" t="s">
        <v>159</v>
      </c>
      <c r="C530" s="9" t="s">
        <v>359</v>
      </c>
      <c r="D530" s="23"/>
      <c r="E530" s="42"/>
      <c r="F530" s="43"/>
      <c r="G530" s="42"/>
      <c r="H530" s="43"/>
      <c r="I530" s="25" t="s">
        <v>15</v>
      </c>
      <c r="J530" s="34" t="str">
        <f>IF(E530="","",raw_data!C522)</f>
        <v/>
      </c>
      <c r="K530" s="46"/>
      <c r="L530" s="87"/>
      <c r="M530" s="19" t="str">
        <f>IF(E530="","",raw_data!F522)</f>
        <v/>
      </c>
      <c r="N530" s="20" t="str">
        <f t="shared" si="22"/>
        <v/>
      </c>
      <c r="O530" s="90"/>
      <c r="P530" s="91"/>
      <c r="Q530" s="91"/>
      <c r="R530" s="91"/>
      <c r="S530" s="41" t="str">
        <f t="shared" si="21"/>
        <v/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2.75" customHeight="1" x14ac:dyDescent="0.2">
      <c r="A531" s="9">
        <v>19229</v>
      </c>
      <c r="B531" s="9" t="s">
        <v>159</v>
      </c>
      <c r="C531" s="9" t="s">
        <v>360</v>
      </c>
      <c r="D531" s="23"/>
      <c r="E531" s="42"/>
      <c r="F531" s="43"/>
      <c r="G531" s="42"/>
      <c r="H531" s="43"/>
      <c r="I531" s="25" t="s">
        <v>15</v>
      </c>
      <c r="J531" s="34" t="str">
        <f>IF(E531="","",raw_data!C523)</f>
        <v/>
      </c>
      <c r="K531" s="46"/>
      <c r="L531" s="87"/>
      <c r="M531" s="19" t="str">
        <f>IF(E531="","",raw_data!F523)</f>
        <v/>
      </c>
      <c r="N531" s="20" t="str">
        <f t="shared" si="22"/>
        <v/>
      </c>
      <c r="O531" s="90"/>
      <c r="P531" s="91"/>
      <c r="Q531" s="91"/>
      <c r="R531" s="91"/>
      <c r="S531" s="41" t="str">
        <f t="shared" si="21"/>
        <v/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2.75" customHeight="1" x14ac:dyDescent="0.2">
      <c r="A532" s="9">
        <v>19230</v>
      </c>
      <c r="B532" s="9" t="s">
        <v>159</v>
      </c>
      <c r="C532" s="9" t="s">
        <v>361</v>
      </c>
      <c r="D532" s="23"/>
      <c r="E532" s="42"/>
      <c r="F532" s="43"/>
      <c r="G532" s="42"/>
      <c r="H532" s="43"/>
      <c r="I532" s="25" t="s">
        <v>15</v>
      </c>
      <c r="J532" s="34" t="str">
        <f>IF(E532="","",raw_data!C524)</f>
        <v/>
      </c>
      <c r="K532" s="46"/>
      <c r="L532" s="87"/>
      <c r="M532" s="19" t="str">
        <f>IF(E532="","",raw_data!F524)</f>
        <v/>
      </c>
      <c r="N532" s="20" t="str">
        <f t="shared" si="22"/>
        <v/>
      </c>
      <c r="O532" s="90"/>
      <c r="P532" s="91"/>
      <c r="Q532" s="91"/>
      <c r="R532" s="91"/>
      <c r="S532" s="41" t="str">
        <f t="shared" si="21"/>
        <v/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2.75" customHeight="1" x14ac:dyDescent="0.2">
      <c r="A533" s="9">
        <v>19231</v>
      </c>
      <c r="B533" s="9" t="s">
        <v>159</v>
      </c>
      <c r="C533" s="9" t="s">
        <v>362</v>
      </c>
      <c r="D533" s="23"/>
      <c r="E533" s="42"/>
      <c r="F533" s="43"/>
      <c r="G533" s="42"/>
      <c r="H533" s="43"/>
      <c r="I533" s="25" t="s">
        <v>15</v>
      </c>
      <c r="J533" s="34" t="str">
        <f>IF(E533="","",raw_data!C525)</f>
        <v/>
      </c>
      <c r="K533" s="46"/>
      <c r="L533" s="87"/>
      <c r="M533" s="19" t="str">
        <f>IF(E533="","",raw_data!F525)</f>
        <v/>
      </c>
      <c r="N533" s="20" t="str">
        <f t="shared" si="22"/>
        <v/>
      </c>
      <c r="O533" s="90"/>
      <c r="P533" s="91"/>
      <c r="Q533" s="91"/>
      <c r="R533" s="91"/>
      <c r="S533" s="41" t="str">
        <f t="shared" si="21"/>
        <v/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2.75" customHeight="1" x14ac:dyDescent="0.2">
      <c r="A534" s="9">
        <v>19232</v>
      </c>
      <c r="B534" s="9" t="s">
        <v>159</v>
      </c>
      <c r="C534" s="9" t="s">
        <v>363</v>
      </c>
      <c r="D534" s="23"/>
      <c r="E534" s="42"/>
      <c r="F534" s="43"/>
      <c r="G534" s="42"/>
      <c r="H534" s="43"/>
      <c r="I534" s="25" t="s">
        <v>15</v>
      </c>
      <c r="J534" s="34" t="str">
        <f>IF(E534="","",raw_data!C526)</f>
        <v/>
      </c>
      <c r="K534" s="46"/>
      <c r="L534" s="87"/>
      <c r="M534" s="19" t="str">
        <f>IF(E534="","",raw_data!F526)</f>
        <v/>
      </c>
      <c r="N534" s="20" t="str">
        <f t="shared" si="22"/>
        <v/>
      </c>
      <c r="O534" s="90"/>
      <c r="P534" s="91"/>
      <c r="Q534" s="91"/>
      <c r="R534" s="91"/>
      <c r="S534" s="41" t="str">
        <f t="shared" si="21"/>
        <v/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2.75" customHeight="1" x14ac:dyDescent="0.2">
      <c r="A535" s="9">
        <v>19233</v>
      </c>
      <c r="B535" s="9" t="s">
        <v>159</v>
      </c>
      <c r="C535" s="9" t="s">
        <v>106</v>
      </c>
      <c r="D535" s="23"/>
      <c r="E535" s="42"/>
      <c r="F535" s="43"/>
      <c r="G535" s="42"/>
      <c r="H535" s="43"/>
      <c r="I535" s="25" t="s">
        <v>15</v>
      </c>
      <c r="J535" s="34" t="str">
        <f>IF(E535="","",raw_data!C527)</f>
        <v/>
      </c>
      <c r="K535" s="46"/>
      <c r="L535" s="87"/>
      <c r="M535" s="19" t="str">
        <f>IF(E535="","",raw_data!F527)</f>
        <v/>
      </c>
      <c r="N535" s="20" t="str">
        <f t="shared" si="22"/>
        <v/>
      </c>
      <c r="O535" s="90"/>
      <c r="P535" s="91"/>
      <c r="Q535" s="91"/>
      <c r="R535" s="91"/>
      <c r="S535" s="41" t="str">
        <f t="shared" si="21"/>
        <v/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2.75" customHeight="1" x14ac:dyDescent="0.2">
      <c r="A536" s="9">
        <v>19234</v>
      </c>
      <c r="B536" s="9" t="s">
        <v>159</v>
      </c>
      <c r="C536" s="9" t="s">
        <v>107</v>
      </c>
      <c r="D536" s="23"/>
      <c r="E536" s="42"/>
      <c r="F536" s="43"/>
      <c r="G536" s="42"/>
      <c r="H536" s="43"/>
      <c r="I536" s="25" t="s">
        <v>15</v>
      </c>
      <c r="J536" s="34" t="str">
        <f>IF(E536="","",raw_data!C528)</f>
        <v/>
      </c>
      <c r="K536" s="46"/>
      <c r="L536" s="87"/>
      <c r="M536" s="19" t="str">
        <f>IF(E536="","",raw_data!F528)</f>
        <v/>
      </c>
      <c r="N536" s="20" t="str">
        <f t="shared" si="22"/>
        <v/>
      </c>
      <c r="O536" s="90"/>
      <c r="P536" s="91"/>
      <c r="Q536" s="91"/>
      <c r="R536" s="91"/>
      <c r="S536" s="41" t="str">
        <f t="shared" si="21"/>
        <v/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2.75" customHeight="1" x14ac:dyDescent="0.2">
      <c r="A537" s="9">
        <v>19235</v>
      </c>
      <c r="B537" s="9" t="s">
        <v>159</v>
      </c>
      <c r="C537" s="9" t="s">
        <v>270</v>
      </c>
      <c r="D537" s="23"/>
      <c r="E537" s="42"/>
      <c r="F537" s="43"/>
      <c r="G537" s="42"/>
      <c r="H537" s="43"/>
      <c r="I537" s="25" t="s">
        <v>15</v>
      </c>
      <c r="J537" s="34" t="str">
        <f>IF(E537="","",raw_data!C529)</f>
        <v/>
      </c>
      <c r="K537" s="46"/>
      <c r="L537" s="87"/>
      <c r="M537" s="19" t="str">
        <f>IF(E537="","",raw_data!F529)</f>
        <v/>
      </c>
      <c r="N537" s="20" t="str">
        <f t="shared" si="22"/>
        <v/>
      </c>
      <c r="O537" s="90"/>
      <c r="P537" s="91"/>
      <c r="Q537" s="91"/>
      <c r="R537" s="91"/>
      <c r="S537" s="41" t="str">
        <f t="shared" si="21"/>
        <v/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2.75" customHeight="1" x14ac:dyDescent="0.2">
      <c r="A538" s="9">
        <v>19236</v>
      </c>
      <c r="B538" s="9" t="s">
        <v>159</v>
      </c>
      <c r="C538" s="9" t="s">
        <v>271</v>
      </c>
      <c r="D538" s="23"/>
      <c r="E538" s="42"/>
      <c r="F538" s="43"/>
      <c r="G538" s="42"/>
      <c r="H538" s="43"/>
      <c r="I538" s="25" t="s">
        <v>15</v>
      </c>
      <c r="J538" s="34" t="str">
        <f>IF(E538="","",raw_data!C530)</f>
        <v/>
      </c>
      <c r="K538" s="46"/>
      <c r="L538" s="87"/>
      <c r="M538" s="19" t="str">
        <f>IF(E538="","",raw_data!F530)</f>
        <v/>
      </c>
      <c r="N538" s="20" t="str">
        <f t="shared" si="22"/>
        <v/>
      </c>
      <c r="O538" s="90"/>
      <c r="P538" s="91"/>
      <c r="Q538" s="91"/>
      <c r="R538" s="91"/>
      <c r="S538" s="41" t="str">
        <f t="shared" si="21"/>
        <v/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2.75" customHeight="1" x14ac:dyDescent="0.2">
      <c r="A539" s="9">
        <v>19237</v>
      </c>
      <c r="B539" s="9" t="s">
        <v>159</v>
      </c>
      <c r="C539" s="9" t="s">
        <v>444</v>
      </c>
      <c r="D539" s="23"/>
      <c r="E539" s="42"/>
      <c r="F539" s="43"/>
      <c r="G539" s="42"/>
      <c r="H539" s="43"/>
      <c r="I539" s="25" t="s">
        <v>15</v>
      </c>
      <c r="J539" s="34" t="str">
        <f>IF(E539="","",raw_data!C531)</f>
        <v/>
      </c>
      <c r="K539" s="46"/>
      <c r="L539" s="87"/>
      <c r="M539" s="19" t="str">
        <f>IF(E539="","",raw_data!F531)</f>
        <v/>
      </c>
      <c r="N539" s="20" t="str">
        <f t="shared" si="22"/>
        <v/>
      </c>
      <c r="O539" s="90"/>
      <c r="P539" s="91"/>
      <c r="Q539" s="91"/>
      <c r="R539" s="91"/>
      <c r="S539" s="41" t="str">
        <f t="shared" si="21"/>
        <v/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2.75" customHeight="1" x14ac:dyDescent="0.2">
      <c r="A540" s="9">
        <v>19238</v>
      </c>
      <c r="B540" s="9" t="s">
        <v>159</v>
      </c>
      <c r="C540" s="9" t="s">
        <v>246</v>
      </c>
      <c r="D540" s="23"/>
      <c r="E540" s="42"/>
      <c r="F540" s="43"/>
      <c r="G540" s="42"/>
      <c r="H540" s="43"/>
      <c r="I540" s="25" t="s">
        <v>15</v>
      </c>
      <c r="J540" s="34" t="str">
        <f>IF(E540="","",raw_data!C532)</f>
        <v/>
      </c>
      <c r="K540" s="46"/>
      <c r="L540" s="87"/>
      <c r="M540" s="19" t="str">
        <f>IF(E540="","",raw_data!F532)</f>
        <v/>
      </c>
      <c r="N540" s="20" t="str">
        <f t="shared" si="22"/>
        <v/>
      </c>
      <c r="O540" s="90"/>
      <c r="P540" s="91"/>
      <c r="Q540" s="91"/>
      <c r="R540" s="91"/>
      <c r="S540" s="41" t="str">
        <f t="shared" si="21"/>
        <v/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2.75" customHeight="1" x14ac:dyDescent="0.2">
      <c r="A541" s="9">
        <v>19239</v>
      </c>
      <c r="B541" s="9" t="s">
        <v>159</v>
      </c>
      <c r="C541" s="9" t="s">
        <v>247</v>
      </c>
      <c r="D541" s="23"/>
      <c r="E541" s="42"/>
      <c r="F541" s="43"/>
      <c r="G541" s="42"/>
      <c r="H541" s="43"/>
      <c r="I541" s="25" t="s">
        <v>15</v>
      </c>
      <c r="J541" s="34" t="str">
        <f>IF(E541="","",raw_data!C533)</f>
        <v/>
      </c>
      <c r="K541" s="46"/>
      <c r="L541" s="87"/>
      <c r="M541" s="19" t="str">
        <f>IF(E541="","",raw_data!F533)</f>
        <v/>
      </c>
      <c r="N541" s="20" t="str">
        <f t="shared" si="22"/>
        <v/>
      </c>
      <c r="O541" s="90"/>
      <c r="P541" s="91"/>
      <c r="Q541" s="91"/>
      <c r="R541" s="91"/>
      <c r="S541" s="41" t="str">
        <f t="shared" si="21"/>
        <v/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2.75" customHeight="1" x14ac:dyDescent="0.2">
      <c r="A542" s="9">
        <v>19240</v>
      </c>
      <c r="B542" s="9" t="s">
        <v>159</v>
      </c>
      <c r="C542" s="9" t="s">
        <v>248</v>
      </c>
      <c r="D542" s="23"/>
      <c r="E542" s="42"/>
      <c r="F542" s="43"/>
      <c r="G542" s="42"/>
      <c r="H542" s="43"/>
      <c r="I542" s="25" t="s">
        <v>15</v>
      </c>
      <c r="J542" s="34" t="str">
        <f>IF(E542="","",raw_data!C534)</f>
        <v/>
      </c>
      <c r="K542" s="46"/>
      <c r="L542" s="87"/>
      <c r="M542" s="19" t="str">
        <f>IF(E542="","",raw_data!F534)</f>
        <v/>
      </c>
      <c r="N542" s="20" t="str">
        <f t="shared" si="22"/>
        <v/>
      </c>
      <c r="O542" s="90"/>
      <c r="P542" s="91"/>
      <c r="Q542" s="91"/>
      <c r="R542" s="91"/>
      <c r="S542" s="41" t="str">
        <f t="shared" si="21"/>
        <v/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2.75" customHeight="1" x14ac:dyDescent="0.2">
      <c r="A543" s="9">
        <v>19241</v>
      </c>
      <c r="B543" s="9" t="s">
        <v>159</v>
      </c>
      <c r="C543" s="9" t="s">
        <v>9</v>
      </c>
      <c r="D543" s="23"/>
      <c r="E543" s="42"/>
      <c r="F543" s="43"/>
      <c r="G543" s="42"/>
      <c r="H543" s="43"/>
      <c r="I543" s="25" t="s">
        <v>15</v>
      </c>
      <c r="J543" s="34" t="str">
        <f>IF(E543="","",raw_data!C535)</f>
        <v/>
      </c>
      <c r="K543" s="46"/>
      <c r="L543" s="87"/>
      <c r="M543" s="19" t="str">
        <f>IF(E543="","",raw_data!F535)</f>
        <v/>
      </c>
      <c r="N543" s="20" t="str">
        <f t="shared" si="22"/>
        <v/>
      </c>
      <c r="O543" s="90"/>
      <c r="P543" s="91"/>
      <c r="Q543" s="91"/>
      <c r="R543" s="91"/>
      <c r="S543" s="41" t="str">
        <f t="shared" si="21"/>
        <v/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2.75" customHeight="1" x14ac:dyDescent="0.2">
      <c r="A544" s="9">
        <v>19242</v>
      </c>
      <c r="B544" s="9" t="s">
        <v>159</v>
      </c>
      <c r="C544" s="9" t="s">
        <v>241</v>
      </c>
      <c r="D544" s="23"/>
      <c r="E544" s="42"/>
      <c r="F544" s="43"/>
      <c r="G544" s="42"/>
      <c r="H544" s="43"/>
      <c r="I544" s="25" t="s">
        <v>15</v>
      </c>
      <c r="J544" s="34" t="str">
        <f>IF(E544="","",raw_data!C536)</f>
        <v/>
      </c>
      <c r="K544" s="46"/>
      <c r="L544" s="87"/>
      <c r="M544" s="19" t="str">
        <f>IF(E544="","",raw_data!F536)</f>
        <v/>
      </c>
      <c r="N544" s="20" t="str">
        <f t="shared" si="22"/>
        <v/>
      </c>
      <c r="O544" s="90"/>
      <c r="P544" s="91"/>
      <c r="Q544" s="91"/>
      <c r="R544" s="91"/>
      <c r="S544" s="41" t="str">
        <f t="shared" si="21"/>
        <v/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2.75" customHeight="1" x14ac:dyDescent="0.2">
      <c r="A545" s="9">
        <v>19243</v>
      </c>
      <c r="B545" s="9" t="s">
        <v>159</v>
      </c>
      <c r="C545" s="9" t="s">
        <v>274</v>
      </c>
      <c r="D545" s="23"/>
      <c r="E545" s="42"/>
      <c r="F545" s="43"/>
      <c r="G545" s="42"/>
      <c r="H545" s="43"/>
      <c r="I545" s="25" t="s">
        <v>15</v>
      </c>
      <c r="J545" s="34" t="str">
        <f>IF(E545="","",raw_data!C537)</f>
        <v/>
      </c>
      <c r="K545" s="46"/>
      <c r="L545" s="87"/>
      <c r="M545" s="19" t="str">
        <f>IF(E545="","",raw_data!F537)</f>
        <v/>
      </c>
      <c r="N545" s="20" t="str">
        <f t="shared" si="22"/>
        <v/>
      </c>
      <c r="O545" s="90"/>
      <c r="P545" s="91"/>
      <c r="Q545" s="91"/>
      <c r="R545" s="91"/>
      <c r="S545" s="41" t="str">
        <f t="shared" si="21"/>
        <v/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2.75" customHeight="1" x14ac:dyDescent="0.2">
      <c r="A546" s="9">
        <v>19244</v>
      </c>
      <c r="B546" s="9" t="s">
        <v>159</v>
      </c>
      <c r="C546" s="9" t="s">
        <v>108</v>
      </c>
      <c r="D546" s="23"/>
      <c r="E546" s="42"/>
      <c r="F546" s="43"/>
      <c r="G546" s="42"/>
      <c r="H546" s="43"/>
      <c r="I546" s="25" t="s">
        <v>15</v>
      </c>
      <c r="J546" s="34" t="str">
        <f>IF(E546="","",raw_data!C538)</f>
        <v/>
      </c>
      <c r="K546" s="46"/>
      <c r="L546" s="87"/>
      <c r="M546" s="19" t="str">
        <f>IF(E546="","",raw_data!F538)</f>
        <v/>
      </c>
      <c r="N546" s="20" t="str">
        <f t="shared" si="22"/>
        <v/>
      </c>
      <c r="O546" s="90"/>
      <c r="P546" s="91"/>
      <c r="Q546" s="91"/>
      <c r="R546" s="91"/>
      <c r="S546" s="41" t="str">
        <f t="shared" si="21"/>
        <v/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2.75" customHeight="1" x14ac:dyDescent="0.2">
      <c r="A547" s="9">
        <v>19245</v>
      </c>
      <c r="B547" s="9" t="s">
        <v>159</v>
      </c>
      <c r="C547" s="9" t="s">
        <v>275</v>
      </c>
      <c r="D547" s="23"/>
      <c r="E547" s="42"/>
      <c r="F547" s="43"/>
      <c r="G547" s="42"/>
      <c r="H547" s="43"/>
      <c r="I547" s="25" t="s">
        <v>15</v>
      </c>
      <c r="J547" s="34" t="str">
        <f>IF(E547="","",raw_data!C539)</f>
        <v/>
      </c>
      <c r="K547" s="46"/>
      <c r="L547" s="87"/>
      <c r="M547" s="19" t="str">
        <f>IF(E547="","",raw_data!F539)</f>
        <v/>
      </c>
      <c r="N547" s="20" t="str">
        <f t="shared" si="22"/>
        <v/>
      </c>
      <c r="O547" s="90"/>
      <c r="P547" s="91"/>
      <c r="Q547" s="91"/>
      <c r="R547" s="91"/>
      <c r="S547" s="41" t="str">
        <f t="shared" si="21"/>
        <v/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2.75" customHeight="1" x14ac:dyDescent="0.2">
      <c r="A548" s="9">
        <v>19246</v>
      </c>
      <c r="B548" s="9" t="s">
        <v>159</v>
      </c>
      <c r="C548" s="9" t="s">
        <v>109</v>
      </c>
      <c r="D548" s="23"/>
      <c r="E548" s="42"/>
      <c r="F548" s="43"/>
      <c r="G548" s="42"/>
      <c r="H548" s="43"/>
      <c r="I548" s="25" t="s">
        <v>15</v>
      </c>
      <c r="J548" s="34" t="str">
        <f>IF(E548="","",raw_data!C540)</f>
        <v/>
      </c>
      <c r="K548" s="46"/>
      <c r="L548" s="87"/>
      <c r="M548" s="19" t="str">
        <f>IF(E548="","",raw_data!F540)</f>
        <v/>
      </c>
      <c r="N548" s="20" t="str">
        <f t="shared" si="22"/>
        <v/>
      </c>
      <c r="O548" s="90"/>
      <c r="P548" s="91"/>
      <c r="Q548" s="91"/>
      <c r="R548" s="91"/>
      <c r="S548" s="41" t="str">
        <f t="shared" si="21"/>
        <v/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2.75" customHeight="1" x14ac:dyDescent="0.2">
      <c r="A549" s="9">
        <v>19247</v>
      </c>
      <c r="B549" s="9" t="s">
        <v>159</v>
      </c>
      <c r="C549" s="9" t="s">
        <v>79</v>
      </c>
      <c r="D549" s="23"/>
      <c r="E549" s="42"/>
      <c r="F549" s="43"/>
      <c r="G549" s="42"/>
      <c r="H549" s="43"/>
      <c r="I549" s="25" t="s">
        <v>15</v>
      </c>
      <c r="J549" s="34" t="str">
        <f>IF(E549="","",raw_data!C541)</f>
        <v/>
      </c>
      <c r="K549" s="46"/>
      <c r="L549" s="87"/>
      <c r="M549" s="19" t="str">
        <f>IF(E549="","",raw_data!F541)</f>
        <v/>
      </c>
      <c r="N549" s="20" t="str">
        <f t="shared" si="22"/>
        <v/>
      </c>
      <c r="O549" s="90"/>
      <c r="P549" s="91"/>
      <c r="Q549" s="91"/>
      <c r="R549" s="91"/>
      <c r="S549" s="41" t="str">
        <f t="shared" si="21"/>
        <v/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2.75" customHeight="1" x14ac:dyDescent="0.2">
      <c r="A550" s="9">
        <v>19248</v>
      </c>
      <c r="B550" s="9" t="s">
        <v>159</v>
      </c>
      <c r="C550" s="9" t="s">
        <v>220</v>
      </c>
      <c r="D550" s="23"/>
      <c r="E550" s="42"/>
      <c r="F550" s="43"/>
      <c r="G550" s="42"/>
      <c r="H550" s="43"/>
      <c r="I550" s="25" t="s">
        <v>15</v>
      </c>
      <c r="J550" s="34" t="str">
        <f>IF(E550="","",raw_data!C542)</f>
        <v/>
      </c>
      <c r="K550" s="46"/>
      <c r="L550" s="87"/>
      <c r="M550" s="19" t="str">
        <f>IF(E550="","",raw_data!F542)</f>
        <v/>
      </c>
      <c r="N550" s="20" t="str">
        <f t="shared" si="22"/>
        <v/>
      </c>
      <c r="O550" s="90"/>
      <c r="P550" s="91"/>
      <c r="Q550" s="91"/>
      <c r="R550" s="91"/>
      <c r="S550" s="41" t="str">
        <f t="shared" si="21"/>
        <v/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2.75" customHeight="1" x14ac:dyDescent="0.2">
      <c r="A551" s="9">
        <v>19249</v>
      </c>
      <c r="B551" s="9" t="s">
        <v>159</v>
      </c>
      <c r="C551" s="9" t="s">
        <v>103</v>
      </c>
      <c r="D551" s="23"/>
      <c r="E551" s="42"/>
      <c r="F551" s="43"/>
      <c r="G551" s="42"/>
      <c r="H551" s="43"/>
      <c r="I551" s="25" t="s">
        <v>15</v>
      </c>
      <c r="J551" s="34" t="str">
        <f>IF(E551="","",raw_data!C543)</f>
        <v/>
      </c>
      <c r="K551" s="46"/>
      <c r="L551" s="87"/>
      <c r="M551" s="19" t="str">
        <f>IF(E551="","",raw_data!F543)</f>
        <v/>
      </c>
      <c r="N551" s="20" t="str">
        <f t="shared" si="22"/>
        <v/>
      </c>
      <c r="O551" s="90"/>
      <c r="P551" s="91"/>
      <c r="Q551" s="91"/>
      <c r="R551" s="91"/>
      <c r="S551" s="41" t="str">
        <f t="shared" si="21"/>
        <v/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2.75" customHeight="1" x14ac:dyDescent="0.2">
      <c r="A552" s="9">
        <v>19250</v>
      </c>
      <c r="B552" s="9" t="s">
        <v>159</v>
      </c>
      <c r="C552" s="9" t="s">
        <v>242</v>
      </c>
      <c r="D552" s="23"/>
      <c r="E552" s="42"/>
      <c r="F552" s="43"/>
      <c r="G552" s="42"/>
      <c r="H552" s="43"/>
      <c r="I552" s="25" t="s">
        <v>15</v>
      </c>
      <c r="J552" s="34" t="str">
        <f>IF(E552="","",raw_data!C544)</f>
        <v/>
      </c>
      <c r="K552" s="46"/>
      <c r="L552" s="87"/>
      <c r="M552" s="19" t="str">
        <f>IF(E552="","",raw_data!F544)</f>
        <v/>
      </c>
      <c r="N552" s="20" t="str">
        <f t="shared" si="22"/>
        <v/>
      </c>
      <c r="O552" s="90"/>
      <c r="P552" s="91"/>
      <c r="Q552" s="91"/>
      <c r="R552" s="91"/>
      <c r="S552" s="41" t="str">
        <f t="shared" si="21"/>
        <v/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2.75" customHeight="1" x14ac:dyDescent="0.2">
      <c r="A553" s="9">
        <v>19251</v>
      </c>
      <c r="B553" s="9" t="s">
        <v>159</v>
      </c>
      <c r="C553" s="9" t="s">
        <v>80</v>
      </c>
      <c r="D553" s="23"/>
      <c r="E553" s="42"/>
      <c r="F553" s="43"/>
      <c r="G553" s="42"/>
      <c r="H553" s="43"/>
      <c r="I553" s="25" t="s">
        <v>15</v>
      </c>
      <c r="J553" s="34" t="str">
        <f>IF(E553="","",raw_data!C545)</f>
        <v/>
      </c>
      <c r="K553" s="46"/>
      <c r="L553" s="87"/>
      <c r="M553" s="19" t="str">
        <f>IF(E553="","",raw_data!F545)</f>
        <v/>
      </c>
      <c r="N553" s="20" t="str">
        <f t="shared" si="22"/>
        <v/>
      </c>
      <c r="O553" s="90"/>
      <c r="P553" s="91"/>
      <c r="Q553" s="91"/>
      <c r="R553" s="91"/>
      <c r="S553" s="41" t="str">
        <f t="shared" si="21"/>
        <v/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2.75" customHeight="1" x14ac:dyDescent="0.2">
      <c r="A554" s="9">
        <v>19252</v>
      </c>
      <c r="B554" s="9" t="s">
        <v>159</v>
      </c>
      <c r="C554" s="9" t="s">
        <v>104</v>
      </c>
      <c r="D554" s="23"/>
      <c r="E554" s="42"/>
      <c r="F554" s="43"/>
      <c r="G554" s="42"/>
      <c r="H554" s="43"/>
      <c r="I554" s="25" t="s">
        <v>15</v>
      </c>
      <c r="J554" s="34" t="str">
        <f>IF(E554="","",raw_data!C546)</f>
        <v/>
      </c>
      <c r="K554" s="46"/>
      <c r="L554" s="87"/>
      <c r="M554" s="19" t="str">
        <f>IF(E554="","",raw_data!F546)</f>
        <v/>
      </c>
      <c r="N554" s="20" t="str">
        <f t="shared" si="22"/>
        <v/>
      </c>
      <c r="O554" s="90"/>
      <c r="P554" s="91"/>
      <c r="Q554" s="91"/>
      <c r="R554" s="91"/>
      <c r="S554" s="41" t="str">
        <f t="shared" si="21"/>
        <v/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2.75" customHeight="1" x14ac:dyDescent="0.2">
      <c r="A555" s="9">
        <v>19253</v>
      </c>
      <c r="B555" s="9" t="s">
        <v>159</v>
      </c>
      <c r="C555" s="9" t="s">
        <v>81</v>
      </c>
      <c r="D555" s="23"/>
      <c r="E555" s="42"/>
      <c r="F555" s="43"/>
      <c r="G555" s="42"/>
      <c r="H555" s="43"/>
      <c r="I555" s="25" t="s">
        <v>15</v>
      </c>
      <c r="J555" s="34" t="str">
        <f>IF(E555="","",raw_data!C547)</f>
        <v/>
      </c>
      <c r="K555" s="46"/>
      <c r="L555" s="87"/>
      <c r="M555" s="19" t="str">
        <f>IF(E555="","",raw_data!F547)</f>
        <v/>
      </c>
      <c r="N555" s="20" t="str">
        <f t="shared" si="22"/>
        <v/>
      </c>
      <c r="O555" s="90"/>
      <c r="P555" s="91"/>
      <c r="Q555" s="91"/>
      <c r="R555" s="91"/>
      <c r="S555" s="41" t="str">
        <f t="shared" si="21"/>
        <v/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2.75" customHeight="1" x14ac:dyDescent="0.2">
      <c r="A556" s="9">
        <v>19254</v>
      </c>
      <c r="B556" s="9" t="s">
        <v>159</v>
      </c>
      <c r="C556" s="9" t="s">
        <v>193</v>
      </c>
      <c r="D556" s="23"/>
      <c r="E556" s="42"/>
      <c r="F556" s="43"/>
      <c r="G556" s="42"/>
      <c r="H556" s="43"/>
      <c r="I556" s="25" t="s">
        <v>15</v>
      </c>
      <c r="J556" s="34" t="str">
        <f>IF(E556="","",raw_data!C548)</f>
        <v/>
      </c>
      <c r="K556" s="46"/>
      <c r="L556" s="87"/>
      <c r="M556" s="19" t="str">
        <f>IF(E556="","",raw_data!F548)</f>
        <v/>
      </c>
      <c r="N556" s="20" t="str">
        <f t="shared" si="22"/>
        <v/>
      </c>
      <c r="O556" s="90"/>
      <c r="P556" s="91"/>
      <c r="Q556" s="91"/>
      <c r="R556" s="91"/>
      <c r="S556" s="41" t="str">
        <f t="shared" si="21"/>
        <v/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2.75" customHeight="1" x14ac:dyDescent="0.2">
      <c r="A557" s="9">
        <v>19255</v>
      </c>
      <c r="B557" s="9" t="s">
        <v>159</v>
      </c>
      <c r="C557" s="9" t="s">
        <v>56</v>
      </c>
      <c r="D557" s="23"/>
      <c r="E557" s="42"/>
      <c r="F557" s="43"/>
      <c r="G557" s="42"/>
      <c r="H557" s="43"/>
      <c r="I557" s="25" t="s">
        <v>15</v>
      </c>
      <c r="J557" s="34" t="str">
        <f>IF(E557="","",raw_data!C549)</f>
        <v/>
      </c>
      <c r="K557" s="46"/>
      <c r="L557" s="87"/>
      <c r="M557" s="19" t="str">
        <f>IF(E557="","",raw_data!F549)</f>
        <v/>
      </c>
      <c r="N557" s="20" t="str">
        <f t="shared" si="22"/>
        <v/>
      </c>
      <c r="O557" s="90"/>
      <c r="P557" s="91"/>
      <c r="Q557" s="91"/>
      <c r="R557" s="91"/>
      <c r="S557" s="41" t="str">
        <f t="shared" si="21"/>
        <v/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2.75" customHeight="1" x14ac:dyDescent="0.2">
      <c r="A558" s="9">
        <v>19256</v>
      </c>
      <c r="B558" s="9" t="s">
        <v>110</v>
      </c>
      <c r="C558" s="9" t="s">
        <v>77</v>
      </c>
      <c r="D558" s="23"/>
      <c r="E558" s="42"/>
      <c r="F558" s="43"/>
      <c r="G558" s="42"/>
      <c r="H558" s="43"/>
      <c r="I558" s="25" t="s">
        <v>15</v>
      </c>
      <c r="J558" s="34" t="str">
        <f>IF(E558="","",raw_data!C550)</f>
        <v/>
      </c>
      <c r="K558" s="46"/>
      <c r="L558" s="87"/>
      <c r="M558" s="19" t="str">
        <f>IF(E558="","",raw_data!F550)</f>
        <v/>
      </c>
      <c r="N558" s="20" t="str">
        <f t="shared" si="22"/>
        <v/>
      </c>
      <c r="O558" s="90"/>
      <c r="P558" s="91"/>
      <c r="Q558" s="91"/>
      <c r="R558" s="91"/>
      <c r="S558" s="41" t="str">
        <f t="shared" si="21"/>
        <v/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2.75" customHeight="1" x14ac:dyDescent="0.2">
      <c r="A559" s="9">
        <v>19257</v>
      </c>
      <c r="B559" s="9" t="s">
        <v>110</v>
      </c>
      <c r="C559" s="9" t="s">
        <v>19</v>
      </c>
      <c r="D559" s="23"/>
      <c r="E559" s="42"/>
      <c r="F559" s="43"/>
      <c r="G559" s="42"/>
      <c r="H559" s="43"/>
      <c r="I559" s="25" t="s">
        <v>15</v>
      </c>
      <c r="J559" s="34" t="str">
        <f>IF(E559="","",raw_data!C551)</f>
        <v/>
      </c>
      <c r="K559" s="46"/>
      <c r="L559" s="87"/>
      <c r="M559" s="19" t="str">
        <f>IF(E559="","",raw_data!F551)</f>
        <v/>
      </c>
      <c r="N559" s="20" t="str">
        <f t="shared" si="22"/>
        <v/>
      </c>
      <c r="O559" s="90"/>
      <c r="P559" s="91"/>
      <c r="Q559" s="91"/>
      <c r="R559" s="91"/>
      <c r="S559" s="41" t="str">
        <f t="shared" si="21"/>
        <v/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2.75" customHeight="1" x14ac:dyDescent="0.2">
      <c r="A560" s="9">
        <v>19258</v>
      </c>
      <c r="B560" s="9" t="s">
        <v>110</v>
      </c>
      <c r="C560" s="9" t="s">
        <v>240</v>
      </c>
      <c r="D560" s="23"/>
      <c r="E560" s="42"/>
      <c r="F560" s="43"/>
      <c r="G560" s="42"/>
      <c r="H560" s="43"/>
      <c r="I560" s="25" t="s">
        <v>15</v>
      </c>
      <c r="J560" s="34" t="str">
        <f>IF(E560="","",raw_data!C552)</f>
        <v/>
      </c>
      <c r="K560" s="46"/>
      <c r="L560" s="87"/>
      <c r="M560" s="19" t="str">
        <f>IF(E560="","",raw_data!F552)</f>
        <v/>
      </c>
      <c r="N560" s="20" t="str">
        <f t="shared" si="22"/>
        <v/>
      </c>
      <c r="O560" s="90"/>
      <c r="P560" s="91"/>
      <c r="Q560" s="91"/>
      <c r="R560" s="91"/>
      <c r="S560" s="41" t="str">
        <f t="shared" si="21"/>
        <v/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2.75" customHeight="1" x14ac:dyDescent="0.2">
      <c r="A561" s="9">
        <v>19259</v>
      </c>
      <c r="B561" s="9" t="s">
        <v>110</v>
      </c>
      <c r="C561" s="9" t="s">
        <v>160</v>
      </c>
      <c r="D561" s="23"/>
      <c r="E561" s="42"/>
      <c r="F561" s="43"/>
      <c r="G561" s="42"/>
      <c r="H561" s="43"/>
      <c r="I561" s="25" t="s">
        <v>15</v>
      </c>
      <c r="J561" s="34" t="str">
        <f>IF(E561="","",raw_data!C553)</f>
        <v/>
      </c>
      <c r="K561" s="46"/>
      <c r="L561" s="87"/>
      <c r="M561" s="19" t="str">
        <f>IF(E561="","",raw_data!F553)</f>
        <v/>
      </c>
      <c r="N561" s="20" t="str">
        <f t="shared" si="22"/>
        <v/>
      </c>
      <c r="O561" s="90"/>
      <c r="P561" s="91"/>
      <c r="Q561" s="91"/>
      <c r="R561" s="91"/>
      <c r="S561" s="41" t="str">
        <f t="shared" si="21"/>
        <v/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2.75" customHeight="1" x14ac:dyDescent="0.2">
      <c r="A562" s="9">
        <v>19260</v>
      </c>
      <c r="B562" s="9" t="s">
        <v>110</v>
      </c>
      <c r="C562" s="9" t="s">
        <v>161</v>
      </c>
      <c r="D562" s="23"/>
      <c r="E562" s="42"/>
      <c r="F562" s="43"/>
      <c r="G562" s="42"/>
      <c r="H562" s="43"/>
      <c r="I562" s="25" t="s">
        <v>15</v>
      </c>
      <c r="J562" s="34" t="str">
        <f>IF(E562="","",raw_data!C554)</f>
        <v/>
      </c>
      <c r="K562" s="46"/>
      <c r="L562" s="87"/>
      <c r="M562" s="19" t="str">
        <f>IF(E562="","",raw_data!F554)</f>
        <v/>
      </c>
      <c r="N562" s="20" t="str">
        <f t="shared" si="22"/>
        <v/>
      </c>
      <c r="O562" s="90"/>
      <c r="P562" s="91"/>
      <c r="Q562" s="91"/>
      <c r="R562" s="91"/>
      <c r="S562" s="41" t="str">
        <f t="shared" si="21"/>
        <v/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2.75" customHeight="1" x14ac:dyDescent="0.2">
      <c r="A563" s="9">
        <v>19261</v>
      </c>
      <c r="B563" s="9" t="s">
        <v>110</v>
      </c>
      <c r="C563" s="9" t="s">
        <v>276</v>
      </c>
      <c r="D563" s="23"/>
      <c r="E563" s="42"/>
      <c r="F563" s="43"/>
      <c r="G563" s="42"/>
      <c r="H563" s="43"/>
      <c r="I563" s="25" t="s">
        <v>15</v>
      </c>
      <c r="J563" s="34" t="str">
        <f>IF(E563="","",raw_data!C555)</f>
        <v/>
      </c>
      <c r="K563" s="46"/>
      <c r="L563" s="87"/>
      <c r="M563" s="19" t="str">
        <f>IF(E563="","",raw_data!F555)</f>
        <v/>
      </c>
      <c r="N563" s="20" t="str">
        <f t="shared" si="22"/>
        <v/>
      </c>
      <c r="O563" s="90"/>
      <c r="P563" s="91"/>
      <c r="Q563" s="91"/>
      <c r="R563" s="91"/>
      <c r="S563" s="41" t="str">
        <f t="shared" si="21"/>
        <v/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2.75" customHeight="1" x14ac:dyDescent="0.2">
      <c r="A564" s="9">
        <v>19262</v>
      </c>
      <c r="B564" s="9" t="s">
        <v>110</v>
      </c>
      <c r="C564" s="9" t="s">
        <v>277</v>
      </c>
      <c r="D564" s="23"/>
      <c r="E564" s="42"/>
      <c r="F564" s="43"/>
      <c r="G564" s="42"/>
      <c r="H564" s="43"/>
      <c r="I564" s="25" t="s">
        <v>15</v>
      </c>
      <c r="J564" s="34" t="str">
        <f>IF(E564="","",raw_data!C556)</f>
        <v/>
      </c>
      <c r="K564" s="46"/>
      <c r="L564" s="87"/>
      <c r="M564" s="19" t="str">
        <f>IF(E564="","",raw_data!F556)</f>
        <v/>
      </c>
      <c r="N564" s="20" t="str">
        <f t="shared" si="22"/>
        <v/>
      </c>
      <c r="O564" s="90"/>
      <c r="P564" s="91"/>
      <c r="Q564" s="91"/>
      <c r="R564" s="91"/>
      <c r="S564" s="41" t="str">
        <f t="shared" si="21"/>
        <v/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2.75" customHeight="1" x14ac:dyDescent="0.2">
      <c r="A565" s="9">
        <v>19263</v>
      </c>
      <c r="B565" s="9" t="s">
        <v>110</v>
      </c>
      <c r="C565" s="9" t="s">
        <v>111</v>
      </c>
      <c r="D565" s="23"/>
      <c r="E565" s="42"/>
      <c r="F565" s="43"/>
      <c r="G565" s="42"/>
      <c r="H565" s="43"/>
      <c r="I565" s="25" t="s">
        <v>15</v>
      </c>
      <c r="J565" s="34" t="str">
        <f>IF(E565="","",raw_data!C557)</f>
        <v/>
      </c>
      <c r="K565" s="46"/>
      <c r="L565" s="87"/>
      <c r="M565" s="19" t="str">
        <f>IF(E565="","",raw_data!F557)</f>
        <v/>
      </c>
      <c r="N565" s="20" t="str">
        <f t="shared" si="22"/>
        <v/>
      </c>
      <c r="O565" s="90"/>
      <c r="P565" s="91"/>
      <c r="Q565" s="91"/>
      <c r="R565" s="91"/>
      <c r="S565" s="41" t="str">
        <f t="shared" si="21"/>
        <v/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2.75" customHeight="1" x14ac:dyDescent="0.2">
      <c r="A566" s="9">
        <v>19264</v>
      </c>
      <c r="B566" s="9" t="s">
        <v>110</v>
      </c>
      <c r="C566" s="9" t="s">
        <v>278</v>
      </c>
      <c r="D566" s="23"/>
      <c r="E566" s="42"/>
      <c r="F566" s="43"/>
      <c r="G566" s="42"/>
      <c r="H566" s="43"/>
      <c r="I566" s="25" t="s">
        <v>15</v>
      </c>
      <c r="J566" s="34" t="str">
        <f>IF(E566="","",raw_data!C558)</f>
        <v/>
      </c>
      <c r="K566" s="46"/>
      <c r="L566" s="87"/>
      <c r="M566" s="19" t="str">
        <f>IF(E566="","",raw_data!F558)</f>
        <v/>
      </c>
      <c r="N566" s="20" t="str">
        <f t="shared" si="22"/>
        <v/>
      </c>
      <c r="O566" s="90"/>
      <c r="P566" s="91"/>
      <c r="Q566" s="91"/>
      <c r="R566" s="91"/>
      <c r="S566" s="41" t="str">
        <f t="shared" si="21"/>
        <v/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2.75" customHeight="1" x14ac:dyDescent="0.2">
      <c r="A567" s="9">
        <v>19265</v>
      </c>
      <c r="B567" s="9" t="s">
        <v>110</v>
      </c>
      <c r="C567" s="9" t="s">
        <v>279</v>
      </c>
      <c r="D567" s="23"/>
      <c r="E567" s="42"/>
      <c r="F567" s="43"/>
      <c r="G567" s="42"/>
      <c r="H567" s="43"/>
      <c r="I567" s="25" t="s">
        <v>15</v>
      </c>
      <c r="J567" s="34" t="str">
        <f>IF(E567="","",raw_data!C559)</f>
        <v/>
      </c>
      <c r="K567" s="46"/>
      <c r="L567" s="87"/>
      <c r="M567" s="19" t="str">
        <f>IF(E567="","",raw_data!F559)</f>
        <v/>
      </c>
      <c r="N567" s="20" t="str">
        <f t="shared" si="22"/>
        <v/>
      </c>
      <c r="O567" s="90"/>
      <c r="P567" s="91"/>
      <c r="Q567" s="91"/>
      <c r="R567" s="91"/>
      <c r="S567" s="41" t="str">
        <f t="shared" si="21"/>
        <v/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2.75" customHeight="1" x14ac:dyDescent="0.2">
      <c r="A568" s="9">
        <v>19266</v>
      </c>
      <c r="B568" s="9" t="s">
        <v>110</v>
      </c>
      <c r="C568" s="9" t="s">
        <v>280</v>
      </c>
      <c r="D568" s="23"/>
      <c r="E568" s="42"/>
      <c r="F568" s="43"/>
      <c r="G568" s="42"/>
      <c r="H568" s="43"/>
      <c r="I568" s="25" t="s">
        <v>15</v>
      </c>
      <c r="J568" s="34" t="str">
        <f>IF(E568="","",raw_data!C560)</f>
        <v/>
      </c>
      <c r="K568" s="46"/>
      <c r="L568" s="87"/>
      <c r="M568" s="19" t="str">
        <f>IF(E568="","",raw_data!F560)</f>
        <v/>
      </c>
      <c r="N568" s="20" t="str">
        <f t="shared" si="22"/>
        <v/>
      </c>
      <c r="O568" s="90"/>
      <c r="P568" s="91"/>
      <c r="Q568" s="91"/>
      <c r="R568" s="91"/>
      <c r="S568" s="41" t="str">
        <f t="shared" si="21"/>
        <v/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2.75" customHeight="1" x14ac:dyDescent="0.2">
      <c r="A569" s="9">
        <v>19267</v>
      </c>
      <c r="B569" s="9" t="s">
        <v>110</v>
      </c>
      <c r="C569" s="9" t="s">
        <v>281</v>
      </c>
      <c r="D569" s="23"/>
      <c r="E569" s="42"/>
      <c r="F569" s="43"/>
      <c r="G569" s="42"/>
      <c r="H569" s="43"/>
      <c r="I569" s="25" t="s">
        <v>15</v>
      </c>
      <c r="J569" s="34" t="str">
        <f>IF(E569="","",raw_data!C561)</f>
        <v/>
      </c>
      <c r="K569" s="46"/>
      <c r="L569" s="87"/>
      <c r="M569" s="19" t="str">
        <f>IF(E569="","",raw_data!F561)</f>
        <v/>
      </c>
      <c r="N569" s="20" t="str">
        <f t="shared" si="22"/>
        <v/>
      </c>
      <c r="O569" s="90"/>
      <c r="P569" s="91"/>
      <c r="Q569" s="91"/>
      <c r="R569" s="91"/>
      <c r="S569" s="41" t="str">
        <f t="shared" si="21"/>
        <v/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2.75" customHeight="1" x14ac:dyDescent="0.2">
      <c r="A570" s="9">
        <v>19268</v>
      </c>
      <c r="B570" s="9" t="s">
        <v>110</v>
      </c>
      <c r="C570" s="9" t="s">
        <v>282</v>
      </c>
      <c r="D570" s="23"/>
      <c r="E570" s="42"/>
      <c r="F570" s="43"/>
      <c r="G570" s="42"/>
      <c r="H570" s="43"/>
      <c r="I570" s="25" t="s">
        <v>15</v>
      </c>
      <c r="J570" s="34" t="str">
        <f>IF(E570="","",raw_data!C562)</f>
        <v/>
      </c>
      <c r="K570" s="46"/>
      <c r="L570" s="87"/>
      <c r="M570" s="19" t="str">
        <f>IF(E570="","",raw_data!F562)</f>
        <v/>
      </c>
      <c r="N570" s="20" t="str">
        <f t="shared" si="22"/>
        <v/>
      </c>
      <c r="O570" s="90"/>
      <c r="P570" s="91"/>
      <c r="Q570" s="91"/>
      <c r="R570" s="91"/>
      <c r="S570" s="41" t="str">
        <f t="shared" si="21"/>
        <v/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2.75" customHeight="1" x14ac:dyDescent="0.2">
      <c r="A571" s="9">
        <v>19269</v>
      </c>
      <c r="B571" s="9" t="s">
        <v>110</v>
      </c>
      <c r="C571" s="9" t="s">
        <v>283</v>
      </c>
      <c r="D571" s="23"/>
      <c r="E571" s="42"/>
      <c r="F571" s="43"/>
      <c r="G571" s="42"/>
      <c r="H571" s="43"/>
      <c r="I571" s="25" t="s">
        <v>15</v>
      </c>
      <c r="J571" s="34" t="str">
        <f>IF(E571="","",raw_data!C563)</f>
        <v/>
      </c>
      <c r="K571" s="46"/>
      <c r="L571" s="87"/>
      <c r="M571" s="19" t="str">
        <f>IF(E571="","",raw_data!F563)</f>
        <v/>
      </c>
      <c r="N571" s="20" t="str">
        <f t="shared" si="22"/>
        <v/>
      </c>
      <c r="O571" s="90"/>
      <c r="P571" s="91"/>
      <c r="Q571" s="91"/>
      <c r="R571" s="91"/>
      <c r="S571" s="41" t="str">
        <f t="shared" si="21"/>
        <v/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2.75" customHeight="1" x14ac:dyDescent="0.2">
      <c r="A572" s="9">
        <v>19270</v>
      </c>
      <c r="B572" s="9" t="s">
        <v>110</v>
      </c>
      <c r="C572" s="9" t="s">
        <v>284</v>
      </c>
      <c r="D572" s="23"/>
      <c r="E572" s="42"/>
      <c r="F572" s="43"/>
      <c r="G572" s="42"/>
      <c r="H572" s="43"/>
      <c r="I572" s="25" t="s">
        <v>15</v>
      </c>
      <c r="J572" s="34" t="str">
        <f>IF(E572="","",raw_data!C564)</f>
        <v/>
      </c>
      <c r="K572" s="46"/>
      <c r="L572" s="87"/>
      <c r="M572" s="19" t="str">
        <f>IF(E572="","",raw_data!F564)</f>
        <v/>
      </c>
      <c r="N572" s="20" t="str">
        <f t="shared" si="22"/>
        <v/>
      </c>
      <c r="O572" s="90"/>
      <c r="P572" s="91"/>
      <c r="Q572" s="91"/>
      <c r="R572" s="91"/>
      <c r="S572" s="41" t="str">
        <f t="shared" si="21"/>
        <v/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2.75" customHeight="1" x14ac:dyDescent="0.2">
      <c r="A573" s="9">
        <v>19271</v>
      </c>
      <c r="B573" s="9" t="s">
        <v>110</v>
      </c>
      <c r="C573" s="9" t="s">
        <v>285</v>
      </c>
      <c r="D573" s="23"/>
      <c r="E573" s="42"/>
      <c r="F573" s="43"/>
      <c r="G573" s="42"/>
      <c r="H573" s="43"/>
      <c r="I573" s="25" t="s">
        <v>15</v>
      </c>
      <c r="J573" s="34" t="str">
        <f>IF(E573="","",raw_data!C565)</f>
        <v/>
      </c>
      <c r="K573" s="46"/>
      <c r="L573" s="87"/>
      <c r="M573" s="19" t="str">
        <f>IF(E573="","",raw_data!F565)</f>
        <v/>
      </c>
      <c r="N573" s="20" t="str">
        <f t="shared" si="22"/>
        <v/>
      </c>
      <c r="O573" s="90"/>
      <c r="P573" s="91"/>
      <c r="Q573" s="91"/>
      <c r="R573" s="91"/>
      <c r="S573" s="41" t="str">
        <f t="shared" si="21"/>
        <v/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2.75" customHeight="1" x14ac:dyDescent="0.2">
      <c r="A574" s="9">
        <v>19272</v>
      </c>
      <c r="B574" s="9" t="s">
        <v>110</v>
      </c>
      <c r="C574" s="9" t="s">
        <v>286</v>
      </c>
      <c r="D574" s="23"/>
      <c r="E574" s="42"/>
      <c r="F574" s="43"/>
      <c r="G574" s="42"/>
      <c r="H574" s="43"/>
      <c r="I574" s="25" t="s">
        <v>15</v>
      </c>
      <c r="J574" s="34" t="str">
        <f>IF(E574="","",raw_data!C566)</f>
        <v/>
      </c>
      <c r="K574" s="46"/>
      <c r="L574" s="87"/>
      <c r="M574" s="19" t="str">
        <f>IF(E574="","",raw_data!F566)</f>
        <v/>
      </c>
      <c r="N574" s="20" t="str">
        <f t="shared" si="22"/>
        <v/>
      </c>
      <c r="O574" s="90"/>
      <c r="P574" s="91"/>
      <c r="Q574" s="91"/>
      <c r="R574" s="91"/>
      <c r="S574" s="41" t="str">
        <f t="shared" si="21"/>
        <v/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2.75" customHeight="1" x14ac:dyDescent="0.2">
      <c r="A575" s="9">
        <v>19273</v>
      </c>
      <c r="B575" s="9" t="s">
        <v>110</v>
      </c>
      <c r="C575" s="9" t="s">
        <v>112</v>
      </c>
      <c r="D575" s="23"/>
      <c r="E575" s="42"/>
      <c r="F575" s="43"/>
      <c r="G575" s="42"/>
      <c r="H575" s="43"/>
      <c r="I575" s="25" t="s">
        <v>15</v>
      </c>
      <c r="J575" s="34" t="str">
        <f>IF(E575="","",raw_data!C567)</f>
        <v/>
      </c>
      <c r="K575" s="46"/>
      <c r="L575" s="87"/>
      <c r="M575" s="19" t="str">
        <f>IF(E575="","",raw_data!F567)</f>
        <v/>
      </c>
      <c r="N575" s="20" t="str">
        <f t="shared" si="22"/>
        <v/>
      </c>
      <c r="O575" s="90"/>
      <c r="P575" s="91"/>
      <c r="Q575" s="91"/>
      <c r="R575" s="91"/>
      <c r="S575" s="41" t="str">
        <f t="shared" si="21"/>
        <v/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2.75" customHeight="1" x14ac:dyDescent="0.2">
      <c r="A576" s="9">
        <v>19274</v>
      </c>
      <c r="B576" s="9" t="s">
        <v>110</v>
      </c>
      <c r="C576" s="9" t="s">
        <v>287</v>
      </c>
      <c r="D576" s="23"/>
      <c r="E576" s="42"/>
      <c r="F576" s="43"/>
      <c r="G576" s="42"/>
      <c r="H576" s="43"/>
      <c r="I576" s="25" t="s">
        <v>15</v>
      </c>
      <c r="J576" s="34" t="str">
        <f>IF(E576="","",raw_data!C568)</f>
        <v/>
      </c>
      <c r="K576" s="46"/>
      <c r="L576" s="87"/>
      <c r="M576" s="19" t="str">
        <f>IF(E576="","",raw_data!F568)</f>
        <v/>
      </c>
      <c r="N576" s="20" t="str">
        <f t="shared" si="22"/>
        <v/>
      </c>
      <c r="O576" s="90"/>
      <c r="P576" s="91"/>
      <c r="Q576" s="91"/>
      <c r="R576" s="91"/>
      <c r="S576" s="41" t="str">
        <f t="shared" si="21"/>
        <v/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2.75" customHeight="1" x14ac:dyDescent="0.2">
      <c r="A577" s="9">
        <v>19275</v>
      </c>
      <c r="B577" s="9" t="s">
        <v>110</v>
      </c>
      <c r="C577" s="9" t="s">
        <v>288</v>
      </c>
      <c r="D577" s="23"/>
      <c r="E577" s="42"/>
      <c r="F577" s="43"/>
      <c r="G577" s="42"/>
      <c r="H577" s="43"/>
      <c r="I577" s="25" t="s">
        <v>15</v>
      </c>
      <c r="J577" s="34" t="str">
        <f>IF(E577="","",raw_data!C569)</f>
        <v/>
      </c>
      <c r="K577" s="46"/>
      <c r="L577" s="87"/>
      <c r="M577" s="19" t="str">
        <f>IF(E577="","",raw_data!F569)</f>
        <v/>
      </c>
      <c r="N577" s="20" t="str">
        <f t="shared" si="22"/>
        <v/>
      </c>
      <c r="O577" s="90"/>
      <c r="P577" s="91"/>
      <c r="Q577" s="91"/>
      <c r="R577" s="91"/>
      <c r="S577" s="41" t="str">
        <f t="shared" si="21"/>
        <v/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2.75" customHeight="1" x14ac:dyDescent="0.2">
      <c r="A578" s="9">
        <v>19276</v>
      </c>
      <c r="B578" s="9" t="s">
        <v>110</v>
      </c>
      <c r="C578" s="9" t="s">
        <v>214</v>
      </c>
      <c r="D578" s="23"/>
      <c r="E578" s="42"/>
      <c r="F578" s="43"/>
      <c r="G578" s="42"/>
      <c r="H578" s="43"/>
      <c r="I578" s="25" t="s">
        <v>15</v>
      </c>
      <c r="J578" s="34" t="str">
        <f>IF(E578="","",raw_data!C570)</f>
        <v/>
      </c>
      <c r="K578" s="46"/>
      <c r="L578" s="87"/>
      <c r="M578" s="19" t="str">
        <f>IF(E578="","",raw_data!F570)</f>
        <v/>
      </c>
      <c r="N578" s="20" t="str">
        <f t="shared" si="22"/>
        <v/>
      </c>
      <c r="O578" s="90"/>
      <c r="P578" s="91"/>
      <c r="Q578" s="91"/>
      <c r="R578" s="91"/>
      <c r="S578" s="41" t="str">
        <f t="shared" si="21"/>
        <v/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2.75" customHeight="1" x14ac:dyDescent="0.2">
      <c r="A579" s="9">
        <v>19277</v>
      </c>
      <c r="B579" s="9" t="s">
        <v>110</v>
      </c>
      <c r="C579" s="9" t="s">
        <v>101</v>
      </c>
      <c r="D579" s="23"/>
      <c r="E579" s="42"/>
      <c r="F579" s="43"/>
      <c r="G579" s="42"/>
      <c r="H579" s="43"/>
      <c r="I579" s="25" t="s">
        <v>15</v>
      </c>
      <c r="J579" s="34" t="str">
        <f>IF(E579="","",raw_data!C571)</f>
        <v/>
      </c>
      <c r="K579" s="46"/>
      <c r="L579" s="87"/>
      <c r="M579" s="19" t="str">
        <f>IF(E579="","",raw_data!F571)</f>
        <v/>
      </c>
      <c r="N579" s="20" t="str">
        <f t="shared" si="22"/>
        <v/>
      </c>
      <c r="O579" s="90"/>
      <c r="P579" s="91"/>
      <c r="Q579" s="91"/>
      <c r="R579" s="91"/>
      <c r="S579" s="41" t="str">
        <f t="shared" si="21"/>
        <v/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2.75" customHeight="1" x14ac:dyDescent="0.2">
      <c r="A580" s="9">
        <v>19278</v>
      </c>
      <c r="B580" s="9" t="s">
        <v>110</v>
      </c>
      <c r="C580" s="9" t="s">
        <v>272</v>
      </c>
      <c r="D580" s="23"/>
      <c r="E580" s="42"/>
      <c r="F580" s="43"/>
      <c r="G580" s="42"/>
      <c r="H580" s="43"/>
      <c r="I580" s="25" t="s">
        <v>15</v>
      </c>
      <c r="J580" s="34" t="str">
        <f>IF(E580="","",raw_data!C572)</f>
        <v/>
      </c>
      <c r="K580" s="46"/>
      <c r="L580" s="87"/>
      <c r="M580" s="19" t="str">
        <f>IF(E580="","",raw_data!F572)</f>
        <v/>
      </c>
      <c r="N580" s="20" t="str">
        <f t="shared" si="22"/>
        <v/>
      </c>
      <c r="O580" s="90"/>
      <c r="P580" s="91"/>
      <c r="Q580" s="91"/>
      <c r="R580" s="91"/>
      <c r="S580" s="41" t="str">
        <f t="shared" si="21"/>
        <v/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2.75" customHeight="1" x14ac:dyDescent="0.2">
      <c r="A581" s="9">
        <v>19279</v>
      </c>
      <c r="B581" s="9" t="s">
        <v>110</v>
      </c>
      <c r="C581" s="9" t="s">
        <v>273</v>
      </c>
      <c r="D581" s="23"/>
      <c r="E581" s="42"/>
      <c r="F581" s="43"/>
      <c r="G581" s="42"/>
      <c r="H581" s="43"/>
      <c r="I581" s="25" t="s">
        <v>15</v>
      </c>
      <c r="J581" s="34" t="str">
        <f>IF(E581="","",raw_data!C573)</f>
        <v/>
      </c>
      <c r="K581" s="46"/>
      <c r="L581" s="87"/>
      <c r="M581" s="19" t="str">
        <f>IF(E581="","",raw_data!F573)</f>
        <v/>
      </c>
      <c r="N581" s="20" t="str">
        <f t="shared" si="22"/>
        <v/>
      </c>
      <c r="O581" s="90"/>
      <c r="P581" s="91"/>
      <c r="Q581" s="91"/>
      <c r="R581" s="91"/>
      <c r="S581" s="41" t="str">
        <f t="shared" si="21"/>
        <v/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2.75" customHeight="1" x14ac:dyDescent="0.2">
      <c r="A582" s="9">
        <v>19280</v>
      </c>
      <c r="B582" s="9" t="s">
        <v>110</v>
      </c>
      <c r="C582" s="9" t="s">
        <v>443</v>
      </c>
      <c r="D582" s="23"/>
      <c r="E582" s="42"/>
      <c r="F582" s="43"/>
      <c r="G582" s="42"/>
      <c r="H582" s="43"/>
      <c r="I582" s="25" t="s">
        <v>15</v>
      </c>
      <c r="J582" s="34" t="str">
        <f>IF(E582="","",raw_data!C574)</f>
        <v/>
      </c>
      <c r="K582" s="46"/>
      <c r="L582" s="87"/>
      <c r="M582" s="19" t="str">
        <f>IF(E582="","",raw_data!F574)</f>
        <v/>
      </c>
      <c r="N582" s="20" t="str">
        <f t="shared" si="22"/>
        <v/>
      </c>
      <c r="O582" s="90"/>
      <c r="P582" s="91"/>
      <c r="Q582" s="91"/>
      <c r="R582" s="91"/>
      <c r="S582" s="41" t="str">
        <f t="shared" si="21"/>
        <v/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2.75" customHeight="1" x14ac:dyDescent="0.2">
      <c r="A583" s="9">
        <v>19281</v>
      </c>
      <c r="B583" s="9" t="s">
        <v>110</v>
      </c>
      <c r="C583" s="9" t="s">
        <v>346</v>
      </c>
      <c r="D583" s="23"/>
      <c r="E583" s="42"/>
      <c r="F583" s="43"/>
      <c r="G583" s="42"/>
      <c r="H583" s="43"/>
      <c r="I583" s="25" t="s">
        <v>15</v>
      </c>
      <c r="J583" s="34" t="str">
        <f>IF(E583="","",raw_data!C575)</f>
        <v/>
      </c>
      <c r="K583" s="46"/>
      <c r="L583" s="87"/>
      <c r="M583" s="19" t="str">
        <f>IF(E583="","",raw_data!F575)</f>
        <v/>
      </c>
      <c r="N583" s="20" t="str">
        <f t="shared" si="22"/>
        <v/>
      </c>
      <c r="O583" s="90"/>
      <c r="P583" s="91"/>
      <c r="Q583" s="91"/>
      <c r="R583" s="91"/>
      <c r="S583" s="41" t="str">
        <f t="shared" si="21"/>
        <v/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2.75" customHeight="1" x14ac:dyDescent="0.2">
      <c r="A584" s="9">
        <v>19282</v>
      </c>
      <c r="B584" s="9" t="s">
        <v>110</v>
      </c>
      <c r="C584" s="9" t="s">
        <v>347</v>
      </c>
      <c r="D584" s="23"/>
      <c r="E584" s="42"/>
      <c r="F584" s="43"/>
      <c r="G584" s="42"/>
      <c r="H584" s="43"/>
      <c r="I584" s="25" t="s">
        <v>15</v>
      </c>
      <c r="J584" s="34" t="str">
        <f>IF(E584="","",raw_data!C576)</f>
        <v/>
      </c>
      <c r="K584" s="46"/>
      <c r="L584" s="87"/>
      <c r="M584" s="19" t="str">
        <f>IF(E584="","",raw_data!F576)</f>
        <v/>
      </c>
      <c r="N584" s="20" t="str">
        <f t="shared" si="22"/>
        <v/>
      </c>
      <c r="O584" s="90"/>
      <c r="P584" s="91"/>
      <c r="Q584" s="91"/>
      <c r="R584" s="91"/>
      <c r="S584" s="41" t="str">
        <f t="shared" si="21"/>
        <v/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2.75" customHeight="1" x14ac:dyDescent="0.2">
      <c r="A585" s="9">
        <v>19283</v>
      </c>
      <c r="B585" s="9" t="s">
        <v>110</v>
      </c>
      <c r="C585" s="9" t="s">
        <v>348</v>
      </c>
      <c r="D585" s="23"/>
      <c r="E585" s="42"/>
      <c r="F585" s="43"/>
      <c r="G585" s="42"/>
      <c r="H585" s="43"/>
      <c r="I585" s="25" t="s">
        <v>15</v>
      </c>
      <c r="J585" s="34" t="str">
        <f>IF(E585="","",raw_data!C577)</f>
        <v/>
      </c>
      <c r="K585" s="46"/>
      <c r="L585" s="87"/>
      <c r="M585" s="19" t="str">
        <f>IF(E585="","",raw_data!F577)</f>
        <v/>
      </c>
      <c r="N585" s="20" t="str">
        <f t="shared" si="22"/>
        <v/>
      </c>
      <c r="O585" s="90"/>
      <c r="P585" s="91"/>
      <c r="Q585" s="91"/>
      <c r="R585" s="91"/>
      <c r="S585" s="41" t="str">
        <f t="shared" si="21"/>
        <v/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2.75" customHeight="1" x14ac:dyDescent="0.2">
      <c r="A586" s="9">
        <v>19284</v>
      </c>
      <c r="B586" s="9" t="s">
        <v>110</v>
      </c>
      <c r="C586" s="9" t="s">
        <v>349</v>
      </c>
      <c r="D586" s="23"/>
      <c r="E586" s="42"/>
      <c r="F586" s="43"/>
      <c r="G586" s="42"/>
      <c r="H586" s="43"/>
      <c r="I586" s="25" t="s">
        <v>15</v>
      </c>
      <c r="J586" s="34" t="str">
        <f>IF(E586="","",raw_data!C578)</f>
        <v/>
      </c>
      <c r="K586" s="46"/>
      <c r="L586" s="87"/>
      <c r="M586" s="19" t="str">
        <f>IF(E586="","",raw_data!F578)</f>
        <v/>
      </c>
      <c r="N586" s="20" t="str">
        <f t="shared" si="22"/>
        <v/>
      </c>
      <c r="O586" s="90"/>
      <c r="P586" s="91"/>
      <c r="Q586" s="91"/>
      <c r="R586" s="91"/>
      <c r="S586" s="41" t="str">
        <f t="shared" ref="S586:S649" si="23">IF(E586="","",IF(OR(NOT(ISNUMBER(N586)),N586&lt;=(1-E586)),"erfüllt",IF(G586="Fehler","mit Fehler",IF(G586="Warnung","mit Warnung",""))))</f>
        <v/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2.75" customHeight="1" x14ac:dyDescent="0.2">
      <c r="A587" s="9">
        <v>19285</v>
      </c>
      <c r="B587" s="9" t="s">
        <v>110</v>
      </c>
      <c r="C587" s="9" t="s">
        <v>350</v>
      </c>
      <c r="D587" s="23"/>
      <c r="E587" s="42"/>
      <c r="F587" s="43"/>
      <c r="G587" s="42"/>
      <c r="H587" s="43"/>
      <c r="I587" s="25" t="s">
        <v>15</v>
      </c>
      <c r="J587" s="34" t="str">
        <f>IF(E587="","",raw_data!C579)</f>
        <v/>
      </c>
      <c r="K587" s="46"/>
      <c r="L587" s="87"/>
      <c r="M587" s="19" t="str">
        <f>IF(E587="","",raw_data!F579)</f>
        <v/>
      </c>
      <c r="N587" s="20" t="str">
        <f t="shared" ref="N587:N650" si="24">IF(E587="","",IFERROR(M587/J587,"-"))</f>
        <v/>
      </c>
      <c r="O587" s="90"/>
      <c r="P587" s="91"/>
      <c r="Q587" s="91"/>
      <c r="R587" s="91"/>
      <c r="S587" s="41" t="str">
        <f t="shared" si="23"/>
        <v/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2.75" customHeight="1" x14ac:dyDescent="0.2">
      <c r="A588" s="9">
        <v>19286</v>
      </c>
      <c r="B588" s="9" t="s">
        <v>110</v>
      </c>
      <c r="C588" s="9" t="s">
        <v>351</v>
      </c>
      <c r="D588" s="23"/>
      <c r="E588" s="42"/>
      <c r="F588" s="43"/>
      <c r="G588" s="42"/>
      <c r="H588" s="43"/>
      <c r="I588" s="25" t="s">
        <v>15</v>
      </c>
      <c r="J588" s="34" t="str">
        <f>IF(E588="","",raw_data!C580)</f>
        <v/>
      </c>
      <c r="K588" s="46"/>
      <c r="L588" s="87"/>
      <c r="M588" s="19" t="str">
        <f>IF(E588="","",raw_data!F580)</f>
        <v/>
      </c>
      <c r="N588" s="20" t="str">
        <f t="shared" si="24"/>
        <v/>
      </c>
      <c r="O588" s="90"/>
      <c r="P588" s="91"/>
      <c r="Q588" s="91"/>
      <c r="R588" s="91"/>
      <c r="S588" s="41" t="str">
        <f t="shared" si="23"/>
        <v/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2.75" customHeight="1" x14ac:dyDescent="0.2">
      <c r="A589" s="9">
        <v>19287</v>
      </c>
      <c r="B589" s="9" t="s">
        <v>110</v>
      </c>
      <c r="C589" s="9" t="s">
        <v>352</v>
      </c>
      <c r="D589" s="23"/>
      <c r="E589" s="42"/>
      <c r="F589" s="43"/>
      <c r="G589" s="42"/>
      <c r="H589" s="43"/>
      <c r="I589" s="25" t="s">
        <v>15</v>
      </c>
      <c r="J589" s="34" t="str">
        <f>IF(E589="","",raw_data!C581)</f>
        <v/>
      </c>
      <c r="K589" s="46"/>
      <c r="L589" s="87"/>
      <c r="M589" s="19" t="str">
        <f>IF(E589="","",raw_data!F581)</f>
        <v/>
      </c>
      <c r="N589" s="20" t="str">
        <f t="shared" si="24"/>
        <v/>
      </c>
      <c r="O589" s="90"/>
      <c r="P589" s="91"/>
      <c r="Q589" s="91"/>
      <c r="R589" s="91"/>
      <c r="S589" s="41" t="str">
        <f t="shared" si="23"/>
        <v/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2.75" customHeight="1" x14ac:dyDescent="0.2">
      <c r="A590" s="9">
        <v>19288</v>
      </c>
      <c r="B590" s="9" t="s">
        <v>110</v>
      </c>
      <c r="C590" s="9" t="s">
        <v>353</v>
      </c>
      <c r="D590" s="23"/>
      <c r="E590" s="42"/>
      <c r="F590" s="43"/>
      <c r="G590" s="42"/>
      <c r="H590" s="43"/>
      <c r="I590" s="25" t="s">
        <v>15</v>
      </c>
      <c r="J590" s="34" t="str">
        <f>IF(E590="","",raw_data!C582)</f>
        <v/>
      </c>
      <c r="K590" s="46"/>
      <c r="L590" s="87"/>
      <c r="M590" s="19" t="str">
        <f>IF(E590="","",raw_data!F582)</f>
        <v/>
      </c>
      <c r="N590" s="20" t="str">
        <f t="shared" si="24"/>
        <v/>
      </c>
      <c r="O590" s="90"/>
      <c r="P590" s="91"/>
      <c r="Q590" s="91"/>
      <c r="R590" s="91"/>
      <c r="S590" s="41" t="str">
        <f t="shared" si="23"/>
        <v/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2.75" customHeight="1" x14ac:dyDescent="0.2">
      <c r="A591" s="9">
        <v>19289</v>
      </c>
      <c r="B591" s="9" t="s">
        <v>110</v>
      </c>
      <c r="C591" s="9" t="s">
        <v>354</v>
      </c>
      <c r="D591" s="23"/>
      <c r="E591" s="42"/>
      <c r="F591" s="43"/>
      <c r="G591" s="42"/>
      <c r="H591" s="43"/>
      <c r="I591" s="25" t="s">
        <v>15</v>
      </c>
      <c r="J591" s="34" t="str">
        <f>IF(E591="","",raw_data!C583)</f>
        <v/>
      </c>
      <c r="K591" s="46"/>
      <c r="L591" s="87"/>
      <c r="M591" s="19" t="str">
        <f>IF(E591="","",raw_data!F583)</f>
        <v/>
      </c>
      <c r="N591" s="20" t="str">
        <f t="shared" si="24"/>
        <v/>
      </c>
      <c r="O591" s="90"/>
      <c r="P591" s="91"/>
      <c r="Q591" s="91"/>
      <c r="R591" s="91"/>
      <c r="S591" s="41" t="str">
        <f t="shared" si="23"/>
        <v/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2.75" customHeight="1" x14ac:dyDescent="0.2">
      <c r="A592" s="9">
        <v>19290</v>
      </c>
      <c r="B592" s="9" t="s">
        <v>110</v>
      </c>
      <c r="C592" s="9" t="s">
        <v>243</v>
      </c>
      <c r="D592" s="23"/>
      <c r="E592" s="42"/>
      <c r="F592" s="43"/>
      <c r="G592" s="42"/>
      <c r="H592" s="43"/>
      <c r="I592" s="25" t="s">
        <v>15</v>
      </c>
      <c r="J592" s="34" t="str">
        <f>IF(E592="","",raw_data!C584)</f>
        <v/>
      </c>
      <c r="K592" s="46"/>
      <c r="L592" s="87"/>
      <c r="M592" s="19" t="str">
        <f>IF(E592="","",raw_data!F584)</f>
        <v/>
      </c>
      <c r="N592" s="20" t="str">
        <f t="shared" si="24"/>
        <v/>
      </c>
      <c r="O592" s="90"/>
      <c r="P592" s="91"/>
      <c r="Q592" s="91"/>
      <c r="R592" s="91"/>
      <c r="S592" s="41" t="str">
        <f t="shared" si="23"/>
        <v/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2.75" customHeight="1" x14ac:dyDescent="0.2">
      <c r="A593" s="9">
        <v>19291</v>
      </c>
      <c r="B593" s="9" t="s">
        <v>110</v>
      </c>
      <c r="C593" s="9" t="s">
        <v>244</v>
      </c>
      <c r="D593" s="23"/>
      <c r="E593" s="42"/>
      <c r="F593" s="43"/>
      <c r="G593" s="42"/>
      <c r="H593" s="43"/>
      <c r="I593" s="25" t="s">
        <v>15</v>
      </c>
      <c r="J593" s="34" t="str">
        <f>IF(E593="","",raw_data!C585)</f>
        <v/>
      </c>
      <c r="K593" s="46"/>
      <c r="L593" s="87"/>
      <c r="M593" s="19" t="str">
        <f>IF(E593="","",raw_data!F585)</f>
        <v/>
      </c>
      <c r="N593" s="20" t="str">
        <f t="shared" si="24"/>
        <v/>
      </c>
      <c r="O593" s="90"/>
      <c r="P593" s="91"/>
      <c r="Q593" s="91"/>
      <c r="R593" s="91"/>
      <c r="S593" s="41" t="str">
        <f t="shared" si="23"/>
        <v/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2.75" customHeight="1" x14ac:dyDescent="0.2">
      <c r="A594" s="9">
        <v>19292</v>
      </c>
      <c r="B594" s="9" t="s">
        <v>110</v>
      </c>
      <c r="C594" s="9" t="s">
        <v>245</v>
      </c>
      <c r="D594" s="23"/>
      <c r="E594" s="42"/>
      <c r="F594" s="43"/>
      <c r="G594" s="42"/>
      <c r="H594" s="43"/>
      <c r="I594" s="25" t="s">
        <v>15</v>
      </c>
      <c r="J594" s="34" t="str">
        <f>IF(E594="","",raw_data!C586)</f>
        <v/>
      </c>
      <c r="K594" s="46"/>
      <c r="L594" s="87"/>
      <c r="M594" s="19" t="str">
        <f>IF(E594="","",raw_data!F586)</f>
        <v/>
      </c>
      <c r="N594" s="20" t="str">
        <f t="shared" si="24"/>
        <v/>
      </c>
      <c r="O594" s="90"/>
      <c r="P594" s="91"/>
      <c r="Q594" s="91"/>
      <c r="R594" s="91"/>
      <c r="S594" s="41" t="str">
        <f t="shared" si="23"/>
        <v/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2.75" customHeight="1" x14ac:dyDescent="0.2">
      <c r="A595" s="9">
        <v>19293</v>
      </c>
      <c r="B595" s="9" t="s">
        <v>110</v>
      </c>
      <c r="C595" s="9" t="s">
        <v>78</v>
      </c>
      <c r="D595" s="23"/>
      <c r="E595" s="42"/>
      <c r="F595" s="43"/>
      <c r="G595" s="42"/>
      <c r="H595" s="43"/>
      <c r="I595" s="25" t="s">
        <v>15</v>
      </c>
      <c r="J595" s="34" t="str">
        <f>IF(E595="","",raw_data!C587)</f>
        <v/>
      </c>
      <c r="K595" s="46"/>
      <c r="L595" s="87"/>
      <c r="M595" s="19" t="str">
        <f>IF(E595="","",raw_data!F587)</f>
        <v/>
      </c>
      <c r="N595" s="20" t="str">
        <f t="shared" si="24"/>
        <v/>
      </c>
      <c r="O595" s="90"/>
      <c r="P595" s="91"/>
      <c r="Q595" s="91"/>
      <c r="R595" s="91"/>
      <c r="S595" s="41" t="str">
        <f t="shared" si="23"/>
        <v/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2.75" customHeight="1" x14ac:dyDescent="0.2">
      <c r="A596" s="9">
        <v>19294</v>
      </c>
      <c r="B596" s="9" t="s">
        <v>110</v>
      </c>
      <c r="C596" s="9" t="s">
        <v>162</v>
      </c>
      <c r="D596" s="23"/>
      <c r="E596" s="42"/>
      <c r="F596" s="43"/>
      <c r="G596" s="42"/>
      <c r="H596" s="43"/>
      <c r="I596" s="25" t="s">
        <v>15</v>
      </c>
      <c r="J596" s="34" t="str">
        <f>IF(E596="","",raw_data!C588)</f>
        <v/>
      </c>
      <c r="K596" s="46"/>
      <c r="L596" s="87"/>
      <c r="M596" s="19" t="str">
        <f>IF(E596="","",raw_data!F588)</f>
        <v/>
      </c>
      <c r="N596" s="20" t="str">
        <f t="shared" si="24"/>
        <v/>
      </c>
      <c r="O596" s="90"/>
      <c r="P596" s="91"/>
      <c r="Q596" s="91"/>
      <c r="R596" s="91"/>
      <c r="S596" s="41" t="str">
        <f t="shared" si="23"/>
        <v/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2.75" customHeight="1" x14ac:dyDescent="0.2">
      <c r="A597" s="9">
        <v>19295</v>
      </c>
      <c r="B597" s="9" t="s">
        <v>110</v>
      </c>
      <c r="C597" s="9" t="s">
        <v>289</v>
      </c>
      <c r="D597" s="23"/>
      <c r="E597" s="42"/>
      <c r="F597" s="43"/>
      <c r="G597" s="42"/>
      <c r="H597" s="43"/>
      <c r="I597" s="25" t="s">
        <v>15</v>
      </c>
      <c r="J597" s="34" t="str">
        <f>IF(E597="","",raw_data!C589)</f>
        <v/>
      </c>
      <c r="K597" s="46"/>
      <c r="L597" s="87"/>
      <c r="M597" s="19" t="str">
        <f>IF(E597="","",raw_data!F589)</f>
        <v/>
      </c>
      <c r="N597" s="20" t="str">
        <f t="shared" si="24"/>
        <v/>
      </c>
      <c r="O597" s="90"/>
      <c r="P597" s="91"/>
      <c r="Q597" s="91"/>
      <c r="R597" s="91"/>
      <c r="S597" s="41" t="str">
        <f t="shared" si="23"/>
        <v/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2.75" customHeight="1" x14ac:dyDescent="0.2">
      <c r="A598" s="9">
        <v>19296</v>
      </c>
      <c r="B598" s="9" t="s">
        <v>110</v>
      </c>
      <c r="C598" s="9" t="s">
        <v>113</v>
      </c>
      <c r="D598" s="23"/>
      <c r="E598" s="42"/>
      <c r="F598" s="43"/>
      <c r="G598" s="42"/>
      <c r="H598" s="43"/>
      <c r="I598" s="25" t="s">
        <v>15</v>
      </c>
      <c r="J598" s="34" t="str">
        <f>IF(E598="","",raw_data!C590)</f>
        <v/>
      </c>
      <c r="K598" s="46"/>
      <c r="L598" s="87"/>
      <c r="M598" s="19" t="str">
        <f>IF(E598="","",raw_data!F590)</f>
        <v/>
      </c>
      <c r="N598" s="20" t="str">
        <f t="shared" si="24"/>
        <v/>
      </c>
      <c r="O598" s="90"/>
      <c r="P598" s="91"/>
      <c r="Q598" s="91"/>
      <c r="R598" s="91"/>
      <c r="S598" s="41" t="str">
        <f t="shared" si="23"/>
        <v/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2.75" customHeight="1" x14ac:dyDescent="0.2">
      <c r="A599" s="9">
        <v>19297</v>
      </c>
      <c r="B599" s="9" t="s">
        <v>110</v>
      </c>
      <c r="C599" s="9" t="s">
        <v>290</v>
      </c>
      <c r="D599" s="23"/>
      <c r="E599" s="42"/>
      <c r="F599" s="43"/>
      <c r="G599" s="42"/>
      <c r="H599" s="43"/>
      <c r="I599" s="25" t="s">
        <v>15</v>
      </c>
      <c r="J599" s="34" t="str">
        <f>IF(E599="","",raw_data!C591)</f>
        <v/>
      </c>
      <c r="K599" s="46"/>
      <c r="L599" s="87"/>
      <c r="M599" s="19" t="str">
        <f>IF(E599="","",raw_data!F591)</f>
        <v/>
      </c>
      <c r="N599" s="20" t="str">
        <f t="shared" si="24"/>
        <v/>
      </c>
      <c r="O599" s="90"/>
      <c r="P599" s="91"/>
      <c r="Q599" s="91"/>
      <c r="R599" s="91"/>
      <c r="S599" s="41" t="str">
        <f t="shared" si="23"/>
        <v/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2.75" customHeight="1" x14ac:dyDescent="0.2">
      <c r="A600" s="9">
        <v>19298</v>
      </c>
      <c r="B600" s="9" t="s">
        <v>110</v>
      </c>
      <c r="C600" s="9" t="s">
        <v>355</v>
      </c>
      <c r="D600" s="23"/>
      <c r="E600" s="42"/>
      <c r="F600" s="43"/>
      <c r="G600" s="42"/>
      <c r="H600" s="43"/>
      <c r="I600" s="25" t="s">
        <v>15</v>
      </c>
      <c r="J600" s="34" t="str">
        <f>IF(E600="","",raw_data!C592)</f>
        <v/>
      </c>
      <c r="K600" s="46"/>
      <c r="L600" s="87"/>
      <c r="M600" s="19" t="str">
        <f>IF(E600="","",raw_data!F592)</f>
        <v/>
      </c>
      <c r="N600" s="20" t="str">
        <f t="shared" si="24"/>
        <v/>
      </c>
      <c r="O600" s="90"/>
      <c r="P600" s="91"/>
      <c r="Q600" s="91"/>
      <c r="R600" s="91"/>
      <c r="S600" s="41" t="str">
        <f t="shared" si="23"/>
        <v/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2.75" customHeight="1" x14ac:dyDescent="0.2">
      <c r="A601" s="9">
        <v>19299</v>
      </c>
      <c r="B601" s="9" t="s">
        <v>110</v>
      </c>
      <c r="C601" s="9" t="s">
        <v>356</v>
      </c>
      <c r="D601" s="23"/>
      <c r="E601" s="42"/>
      <c r="F601" s="43"/>
      <c r="G601" s="42"/>
      <c r="H601" s="43"/>
      <c r="I601" s="25" t="s">
        <v>15</v>
      </c>
      <c r="J601" s="34" t="str">
        <f>IF(E601="","",raw_data!C593)</f>
        <v/>
      </c>
      <c r="K601" s="46"/>
      <c r="L601" s="87"/>
      <c r="M601" s="19" t="str">
        <f>IF(E601="","",raw_data!F593)</f>
        <v/>
      </c>
      <c r="N601" s="20" t="str">
        <f t="shared" si="24"/>
        <v/>
      </c>
      <c r="O601" s="90"/>
      <c r="P601" s="91"/>
      <c r="Q601" s="91"/>
      <c r="R601" s="91"/>
      <c r="S601" s="41" t="str">
        <f t="shared" si="23"/>
        <v/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2.75" customHeight="1" x14ac:dyDescent="0.2">
      <c r="A602" s="9">
        <v>19300</v>
      </c>
      <c r="B602" s="9" t="s">
        <v>110</v>
      </c>
      <c r="C602" s="9" t="s">
        <v>357</v>
      </c>
      <c r="D602" s="23"/>
      <c r="E602" s="42"/>
      <c r="F602" s="43"/>
      <c r="G602" s="42"/>
      <c r="H602" s="43"/>
      <c r="I602" s="25" t="s">
        <v>15</v>
      </c>
      <c r="J602" s="34" t="str">
        <f>IF(E602="","",raw_data!C594)</f>
        <v/>
      </c>
      <c r="K602" s="46"/>
      <c r="L602" s="87"/>
      <c r="M602" s="19" t="str">
        <f>IF(E602="","",raw_data!F594)</f>
        <v/>
      </c>
      <c r="N602" s="20" t="str">
        <f t="shared" si="24"/>
        <v/>
      </c>
      <c r="O602" s="90"/>
      <c r="P602" s="91"/>
      <c r="Q602" s="91"/>
      <c r="R602" s="91"/>
      <c r="S602" s="41" t="str">
        <f t="shared" si="23"/>
        <v/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2.75" customHeight="1" x14ac:dyDescent="0.2">
      <c r="A603" s="9">
        <v>19301</v>
      </c>
      <c r="B603" s="9" t="s">
        <v>110</v>
      </c>
      <c r="C603" s="9" t="s">
        <v>358</v>
      </c>
      <c r="D603" s="23"/>
      <c r="E603" s="42"/>
      <c r="F603" s="43"/>
      <c r="G603" s="42"/>
      <c r="H603" s="43"/>
      <c r="I603" s="25" t="s">
        <v>15</v>
      </c>
      <c r="J603" s="34" t="str">
        <f>IF(E603="","",raw_data!C595)</f>
        <v/>
      </c>
      <c r="K603" s="46"/>
      <c r="L603" s="87"/>
      <c r="M603" s="19" t="str">
        <f>IF(E603="","",raw_data!F595)</f>
        <v/>
      </c>
      <c r="N603" s="20" t="str">
        <f t="shared" si="24"/>
        <v/>
      </c>
      <c r="O603" s="90"/>
      <c r="P603" s="91"/>
      <c r="Q603" s="91"/>
      <c r="R603" s="91"/>
      <c r="S603" s="41" t="str">
        <f t="shared" si="23"/>
        <v/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2.75" customHeight="1" x14ac:dyDescent="0.2">
      <c r="A604" s="9">
        <v>19302</v>
      </c>
      <c r="B604" s="9" t="s">
        <v>110</v>
      </c>
      <c r="C604" s="9" t="s">
        <v>359</v>
      </c>
      <c r="D604" s="23"/>
      <c r="E604" s="42"/>
      <c r="F604" s="43"/>
      <c r="G604" s="42"/>
      <c r="H604" s="43"/>
      <c r="I604" s="25" t="s">
        <v>15</v>
      </c>
      <c r="J604" s="34" t="str">
        <f>IF(E604="","",raw_data!C596)</f>
        <v/>
      </c>
      <c r="K604" s="46"/>
      <c r="L604" s="87"/>
      <c r="M604" s="19" t="str">
        <f>IF(E604="","",raw_data!F596)</f>
        <v/>
      </c>
      <c r="N604" s="20" t="str">
        <f t="shared" si="24"/>
        <v/>
      </c>
      <c r="O604" s="90"/>
      <c r="P604" s="91"/>
      <c r="Q604" s="91"/>
      <c r="R604" s="91"/>
      <c r="S604" s="41" t="str">
        <f t="shared" si="23"/>
        <v/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2.75" customHeight="1" x14ac:dyDescent="0.2">
      <c r="A605" s="9">
        <v>19303</v>
      </c>
      <c r="B605" s="9" t="s">
        <v>110</v>
      </c>
      <c r="C605" s="9" t="s">
        <v>360</v>
      </c>
      <c r="D605" s="23"/>
      <c r="E605" s="42"/>
      <c r="F605" s="43"/>
      <c r="G605" s="42"/>
      <c r="H605" s="43"/>
      <c r="I605" s="25" t="s">
        <v>15</v>
      </c>
      <c r="J605" s="34" t="str">
        <f>IF(E605="","",raw_data!C597)</f>
        <v/>
      </c>
      <c r="K605" s="46"/>
      <c r="L605" s="87"/>
      <c r="M605" s="19" t="str">
        <f>IF(E605="","",raw_data!F597)</f>
        <v/>
      </c>
      <c r="N605" s="20" t="str">
        <f t="shared" si="24"/>
        <v/>
      </c>
      <c r="O605" s="90"/>
      <c r="P605" s="91"/>
      <c r="Q605" s="91"/>
      <c r="R605" s="91"/>
      <c r="S605" s="41" t="str">
        <f t="shared" si="23"/>
        <v/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2.75" customHeight="1" x14ac:dyDescent="0.2">
      <c r="A606" s="9">
        <v>19304</v>
      </c>
      <c r="B606" s="9" t="s">
        <v>110</v>
      </c>
      <c r="C606" s="9" t="s">
        <v>361</v>
      </c>
      <c r="D606" s="23"/>
      <c r="E606" s="42"/>
      <c r="F606" s="43"/>
      <c r="G606" s="42"/>
      <c r="H606" s="43"/>
      <c r="I606" s="25" t="s">
        <v>15</v>
      </c>
      <c r="J606" s="34" t="str">
        <f>IF(E606="","",raw_data!C598)</f>
        <v/>
      </c>
      <c r="K606" s="46"/>
      <c r="L606" s="87"/>
      <c r="M606" s="19" t="str">
        <f>IF(E606="","",raw_data!F598)</f>
        <v/>
      </c>
      <c r="N606" s="20" t="str">
        <f t="shared" si="24"/>
        <v/>
      </c>
      <c r="O606" s="90"/>
      <c r="P606" s="91"/>
      <c r="Q606" s="91"/>
      <c r="R606" s="91"/>
      <c r="S606" s="41" t="str">
        <f t="shared" si="23"/>
        <v/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2.75" customHeight="1" x14ac:dyDescent="0.2">
      <c r="A607" s="9">
        <v>19305</v>
      </c>
      <c r="B607" s="9" t="s">
        <v>110</v>
      </c>
      <c r="C607" s="9" t="s">
        <v>362</v>
      </c>
      <c r="D607" s="23"/>
      <c r="E607" s="42"/>
      <c r="F607" s="43"/>
      <c r="G607" s="42"/>
      <c r="H607" s="43"/>
      <c r="I607" s="25" t="s">
        <v>15</v>
      </c>
      <c r="J607" s="34" t="str">
        <f>IF(E607="","",raw_data!C599)</f>
        <v/>
      </c>
      <c r="K607" s="46"/>
      <c r="L607" s="87"/>
      <c r="M607" s="19" t="str">
        <f>IF(E607="","",raw_data!F599)</f>
        <v/>
      </c>
      <c r="N607" s="20" t="str">
        <f t="shared" si="24"/>
        <v/>
      </c>
      <c r="O607" s="90"/>
      <c r="P607" s="91"/>
      <c r="Q607" s="91"/>
      <c r="R607" s="91"/>
      <c r="S607" s="41" t="str">
        <f t="shared" si="23"/>
        <v/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2.75" customHeight="1" x14ac:dyDescent="0.2">
      <c r="A608" s="9">
        <v>19306</v>
      </c>
      <c r="B608" s="9" t="s">
        <v>110</v>
      </c>
      <c r="C608" s="9" t="s">
        <v>363</v>
      </c>
      <c r="D608" s="23"/>
      <c r="E608" s="42"/>
      <c r="F608" s="43"/>
      <c r="G608" s="42"/>
      <c r="H608" s="43"/>
      <c r="I608" s="25" t="s">
        <v>15</v>
      </c>
      <c r="J608" s="34" t="str">
        <f>IF(E608="","",raw_data!C600)</f>
        <v/>
      </c>
      <c r="K608" s="46"/>
      <c r="L608" s="87"/>
      <c r="M608" s="19" t="str">
        <f>IF(E608="","",raw_data!F600)</f>
        <v/>
      </c>
      <c r="N608" s="20" t="str">
        <f t="shared" si="24"/>
        <v/>
      </c>
      <c r="O608" s="90"/>
      <c r="P608" s="91"/>
      <c r="Q608" s="91"/>
      <c r="R608" s="91"/>
      <c r="S608" s="41" t="str">
        <f t="shared" si="23"/>
        <v/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2.75" customHeight="1" x14ac:dyDescent="0.2">
      <c r="A609" s="9">
        <v>19307</v>
      </c>
      <c r="B609" s="9" t="s">
        <v>110</v>
      </c>
      <c r="C609" s="9" t="s">
        <v>270</v>
      </c>
      <c r="D609" s="23"/>
      <c r="E609" s="42"/>
      <c r="F609" s="43"/>
      <c r="G609" s="42"/>
      <c r="H609" s="43"/>
      <c r="I609" s="25" t="s">
        <v>15</v>
      </c>
      <c r="J609" s="34" t="str">
        <f>IF(E609="","",raw_data!C601)</f>
        <v/>
      </c>
      <c r="K609" s="46"/>
      <c r="L609" s="87"/>
      <c r="M609" s="19" t="str">
        <f>IF(E609="","",raw_data!F601)</f>
        <v/>
      </c>
      <c r="N609" s="20" t="str">
        <f t="shared" si="24"/>
        <v/>
      </c>
      <c r="O609" s="90"/>
      <c r="P609" s="91"/>
      <c r="Q609" s="91"/>
      <c r="R609" s="91"/>
      <c r="S609" s="41" t="str">
        <f t="shared" si="23"/>
        <v/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2.75" customHeight="1" x14ac:dyDescent="0.2">
      <c r="A610" s="9">
        <v>19308</v>
      </c>
      <c r="B610" s="9" t="s">
        <v>110</v>
      </c>
      <c r="C610" s="9" t="s">
        <v>271</v>
      </c>
      <c r="D610" s="23"/>
      <c r="E610" s="42"/>
      <c r="F610" s="43"/>
      <c r="G610" s="42"/>
      <c r="H610" s="43"/>
      <c r="I610" s="25" t="s">
        <v>15</v>
      </c>
      <c r="J610" s="34" t="str">
        <f>IF(E610="","",raw_data!C602)</f>
        <v/>
      </c>
      <c r="K610" s="46"/>
      <c r="L610" s="87"/>
      <c r="M610" s="19" t="str">
        <f>IF(E610="","",raw_data!F602)</f>
        <v/>
      </c>
      <c r="N610" s="20" t="str">
        <f t="shared" si="24"/>
        <v/>
      </c>
      <c r="O610" s="90"/>
      <c r="P610" s="91"/>
      <c r="Q610" s="91"/>
      <c r="R610" s="91"/>
      <c r="S610" s="41" t="str">
        <f t="shared" si="23"/>
        <v/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2.75" customHeight="1" x14ac:dyDescent="0.2">
      <c r="A611" s="9">
        <v>19309</v>
      </c>
      <c r="B611" s="9" t="s">
        <v>110</v>
      </c>
      <c r="C611" s="9" t="s">
        <v>444</v>
      </c>
      <c r="D611" s="23"/>
      <c r="E611" s="42"/>
      <c r="F611" s="43"/>
      <c r="G611" s="42"/>
      <c r="H611" s="43"/>
      <c r="I611" s="25" t="s">
        <v>15</v>
      </c>
      <c r="J611" s="34" t="str">
        <f>IF(E611="","",raw_data!C603)</f>
        <v/>
      </c>
      <c r="K611" s="46"/>
      <c r="L611" s="87"/>
      <c r="M611" s="19" t="str">
        <f>IF(E611="","",raw_data!F603)</f>
        <v/>
      </c>
      <c r="N611" s="20" t="str">
        <f t="shared" si="24"/>
        <v/>
      </c>
      <c r="O611" s="90"/>
      <c r="P611" s="91"/>
      <c r="Q611" s="91"/>
      <c r="R611" s="91"/>
      <c r="S611" s="41" t="str">
        <f t="shared" si="23"/>
        <v/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2.75" customHeight="1" x14ac:dyDescent="0.2">
      <c r="A612" s="9">
        <v>19310</v>
      </c>
      <c r="B612" s="9" t="s">
        <v>110</v>
      </c>
      <c r="C612" s="9" t="s">
        <v>246</v>
      </c>
      <c r="D612" s="23"/>
      <c r="E612" s="42"/>
      <c r="F612" s="43"/>
      <c r="G612" s="42"/>
      <c r="H612" s="43"/>
      <c r="I612" s="25" t="s">
        <v>15</v>
      </c>
      <c r="J612" s="34" t="str">
        <f>IF(E612="","",raw_data!C604)</f>
        <v/>
      </c>
      <c r="K612" s="46"/>
      <c r="L612" s="87"/>
      <c r="M612" s="19" t="str">
        <f>IF(E612="","",raw_data!F604)</f>
        <v/>
      </c>
      <c r="N612" s="20" t="str">
        <f t="shared" si="24"/>
        <v/>
      </c>
      <c r="O612" s="90"/>
      <c r="P612" s="91"/>
      <c r="Q612" s="91"/>
      <c r="R612" s="91"/>
      <c r="S612" s="41" t="str">
        <f t="shared" si="23"/>
        <v/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2.75" customHeight="1" x14ac:dyDescent="0.2">
      <c r="A613" s="9">
        <v>19311</v>
      </c>
      <c r="B613" s="9" t="s">
        <v>110</v>
      </c>
      <c r="C613" s="9" t="s">
        <v>247</v>
      </c>
      <c r="D613" s="23"/>
      <c r="E613" s="42"/>
      <c r="F613" s="43"/>
      <c r="G613" s="42"/>
      <c r="H613" s="43"/>
      <c r="I613" s="25" t="s">
        <v>15</v>
      </c>
      <c r="J613" s="34" t="str">
        <f>IF(E613="","",raw_data!C605)</f>
        <v/>
      </c>
      <c r="K613" s="46"/>
      <c r="L613" s="87"/>
      <c r="M613" s="19" t="str">
        <f>IF(E613="","",raw_data!F605)</f>
        <v/>
      </c>
      <c r="N613" s="20" t="str">
        <f t="shared" si="24"/>
        <v/>
      </c>
      <c r="O613" s="90"/>
      <c r="P613" s="91"/>
      <c r="Q613" s="91"/>
      <c r="R613" s="91"/>
      <c r="S613" s="41" t="str">
        <f t="shared" si="23"/>
        <v/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2.75" customHeight="1" x14ac:dyDescent="0.2">
      <c r="A614" s="9">
        <v>19312</v>
      </c>
      <c r="B614" s="9" t="s">
        <v>110</v>
      </c>
      <c r="C614" s="9" t="s">
        <v>248</v>
      </c>
      <c r="D614" s="23"/>
      <c r="E614" s="42"/>
      <c r="F614" s="43"/>
      <c r="G614" s="42"/>
      <c r="H614" s="43"/>
      <c r="I614" s="25" t="s">
        <v>15</v>
      </c>
      <c r="J614" s="34" t="str">
        <f>IF(E614="","",raw_data!C606)</f>
        <v/>
      </c>
      <c r="K614" s="46"/>
      <c r="L614" s="87"/>
      <c r="M614" s="19" t="str">
        <f>IF(E614="","",raw_data!F606)</f>
        <v/>
      </c>
      <c r="N614" s="20" t="str">
        <f t="shared" si="24"/>
        <v/>
      </c>
      <c r="O614" s="90"/>
      <c r="P614" s="91"/>
      <c r="Q614" s="91"/>
      <c r="R614" s="91"/>
      <c r="S614" s="41" t="str">
        <f t="shared" si="23"/>
        <v/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2.75" customHeight="1" x14ac:dyDescent="0.2">
      <c r="A615" s="9">
        <v>19313</v>
      </c>
      <c r="B615" s="9" t="s">
        <v>110</v>
      </c>
      <c r="C615" s="9" t="s">
        <v>9</v>
      </c>
      <c r="D615" s="23"/>
      <c r="E615" s="42"/>
      <c r="F615" s="43"/>
      <c r="G615" s="42"/>
      <c r="H615" s="43"/>
      <c r="I615" s="25" t="s">
        <v>15</v>
      </c>
      <c r="J615" s="34" t="str">
        <f>IF(E615="","",raw_data!C607)</f>
        <v/>
      </c>
      <c r="K615" s="46"/>
      <c r="L615" s="87"/>
      <c r="M615" s="19" t="str">
        <f>IF(E615="","",raw_data!F607)</f>
        <v/>
      </c>
      <c r="N615" s="20" t="str">
        <f t="shared" si="24"/>
        <v/>
      </c>
      <c r="O615" s="90"/>
      <c r="P615" s="91"/>
      <c r="Q615" s="91"/>
      <c r="R615" s="91"/>
      <c r="S615" s="41" t="str">
        <f t="shared" si="23"/>
        <v/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2.75" customHeight="1" x14ac:dyDescent="0.2">
      <c r="A616" s="9">
        <v>19314</v>
      </c>
      <c r="B616" s="9" t="s">
        <v>110</v>
      </c>
      <c r="C616" s="9" t="s">
        <v>241</v>
      </c>
      <c r="D616" s="23"/>
      <c r="E616" s="42"/>
      <c r="F616" s="43"/>
      <c r="G616" s="42"/>
      <c r="H616" s="43"/>
      <c r="I616" s="25" t="s">
        <v>15</v>
      </c>
      <c r="J616" s="34" t="str">
        <f>IF(E616="","",raw_data!C608)</f>
        <v/>
      </c>
      <c r="K616" s="46"/>
      <c r="L616" s="87"/>
      <c r="M616" s="19" t="str">
        <f>IF(E616="","",raw_data!F608)</f>
        <v/>
      </c>
      <c r="N616" s="20" t="str">
        <f t="shared" si="24"/>
        <v/>
      </c>
      <c r="O616" s="90"/>
      <c r="P616" s="91"/>
      <c r="Q616" s="91"/>
      <c r="R616" s="91"/>
      <c r="S616" s="41" t="str">
        <f t="shared" si="23"/>
        <v/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2.75" customHeight="1" x14ac:dyDescent="0.2">
      <c r="A617" s="9">
        <v>19315</v>
      </c>
      <c r="B617" s="9" t="s">
        <v>110</v>
      </c>
      <c r="C617" s="9" t="s">
        <v>291</v>
      </c>
      <c r="D617" s="23"/>
      <c r="E617" s="42"/>
      <c r="F617" s="43"/>
      <c r="G617" s="42"/>
      <c r="H617" s="43"/>
      <c r="I617" s="25" t="s">
        <v>15</v>
      </c>
      <c r="J617" s="34" t="str">
        <f>IF(E617="","",raw_data!C609)</f>
        <v/>
      </c>
      <c r="K617" s="46"/>
      <c r="L617" s="87"/>
      <c r="M617" s="19" t="str">
        <f>IF(E617="","",raw_data!F609)</f>
        <v/>
      </c>
      <c r="N617" s="20" t="str">
        <f t="shared" si="24"/>
        <v/>
      </c>
      <c r="O617" s="90"/>
      <c r="P617" s="91"/>
      <c r="Q617" s="91"/>
      <c r="R617" s="91"/>
      <c r="S617" s="41" t="str">
        <f t="shared" si="23"/>
        <v/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2.75" customHeight="1" x14ac:dyDescent="0.2">
      <c r="A618" s="9">
        <v>19316</v>
      </c>
      <c r="B618" s="9" t="s">
        <v>110</v>
      </c>
      <c r="C618" s="9" t="s">
        <v>114</v>
      </c>
      <c r="D618" s="23"/>
      <c r="E618" s="42"/>
      <c r="F618" s="43"/>
      <c r="G618" s="42"/>
      <c r="H618" s="43"/>
      <c r="I618" s="25" t="s">
        <v>15</v>
      </c>
      <c r="J618" s="34" t="str">
        <f>IF(E618="","",raw_data!C610)</f>
        <v/>
      </c>
      <c r="K618" s="46"/>
      <c r="L618" s="87"/>
      <c r="M618" s="19" t="str">
        <f>IF(E618="","",raw_data!F610)</f>
        <v/>
      </c>
      <c r="N618" s="20" t="str">
        <f t="shared" si="24"/>
        <v/>
      </c>
      <c r="O618" s="90"/>
      <c r="P618" s="91"/>
      <c r="Q618" s="91"/>
      <c r="R618" s="91"/>
      <c r="S618" s="41" t="str">
        <f t="shared" si="23"/>
        <v/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2.75" customHeight="1" x14ac:dyDescent="0.2">
      <c r="A619" s="9">
        <v>19317</v>
      </c>
      <c r="B619" s="9" t="s">
        <v>110</v>
      </c>
      <c r="C619" s="9" t="s">
        <v>292</v>
      </c>
      <c r="D619" s="23"/>
      <c r="E619" s="42"/>
      <c r="F619" s="43"/>
      <c r="G619" s="42"/>
      <c r="H619" s="43"/>
      <c r="I619" s="25" t="s">
        <v>15</v>
      </c>
      <c r="J619" s="34" t="str">
        <f>IF(E619="","",raw_data!C611)</f>
        <v/>
      </c>
      <c r="K619" s="46"/>
      <c r="L619" s="87"/>
      <c r="M619" s="19" t="str">
        <f>IF(E619="","",raw_data!F611)</f>
        <v/>
      </c>
      <c r="N619" s="20" t="str">
        <f t="shared" si="24"/>
        <v/>
      </c>
      <c r="O619" s="90"/>
      <c r="P619" s="91"/>
      <c r="Q619" s="91"/>
      <c r="R619" s="91"/>
      <c r="S619" s="41" t="str">
        <f t="shared" si="23"/>
        <v/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2.75" customHeight="1" x14ac:dyDescent="0.2">
      <c r="A620" s="9">
        <v>19318</v>
      </c>
      <c r="B620" s="9" t="s">
        <v>110</v>
      </c>
      <c r="C620" s="9" t="s">
        <v>79</v>
      </c>
      <c r="D620" s="23"/>
      <c r="E620" s="42"/>
      <c r="F620" s="43"/>
      <c r="G620" s="42"/>
      <c r="H620" s="43"/>
      <c r="I620" s="25" t="s">
        <v>15</v>
      </c>
      <c r="J620" s="34" t="str">
        <f>IF(E620="","",raw_data!C612)</f>
        <v/>
      </c>
      <c r="K620" s="46"/>
      <c r="L620" s="87"/>
      <c r="M620" s="19" t="str">
        <f>IF(E620="","",raw_data!F612)</f>
        <v/>
      </c>
      <c r="N620" s="20" t="str">
        <f t="shared" si="24"/>
        <v/>
      </c>
      <c r="O620" s="90"/>
      <c r="P620" s="91"/>
      <c r="Q620" s="91"/>
      <c r="R620" s="91"/>
      <c r="S620" s="41" t="str">
        <f t="shared" si="23"/>
        <v/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2.75" customHeight="1" x14ac:dyDescent="0.2">
      <c r="A621" s="9">
        <v>19319</v>
      </c>
      <c r="B621" s="9" t="s">
        <v>110</v>
      </c>
      <c r="C621" s="9" t="s">
        <v>220</v>
      </c>
      <c r="D621" s="23"/>
      <c r="E621" s="42"/>
      <c r="F621" s="43"/>
      <c r="G621" s="42"/>
      <c r="H621" s="43"/>
      <c r="I621" s="25" t="s">
        <v>15</v>
      </c>
      <c r="J621" s="34" t="str">
        <f>IF(E621="","",raw_data!C613)</f>
        <v/>
      </c>
      <c r="K621" s="46"/>
      <c r="L621" s="87"/>
      <c r="M621" s="19" t="str">
        <f>IF(E621="","",raw_data!F613)</f>
        <v/>
      </c>
      <c r="N621" s="20" t="str">
        <f t="shared" si="24"/>
        <v/>
      </c>
      <c r="O621" s="90"/>
      <c r="P621" s="91"/>
      <c r="Q621" s="91"/>
      <c r="R621" s="91"/>
      <c r="S621" s="41" t="str">
        <f t="shared" si="23"/>
        <v/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2.75" customHeight="1" x14ac:dyDescent="0.2">
      <c r="A622" s="9">
        <v>19320</v>
      </c>
      <c r="B622" s="9" t="s">
        <v>110</v>
      </c>
      <c r="C622" s="9" t="s">
        <v>103</v>
      </c>
      <c r="D622" s="23"/>
      <c r="E622" s="42"/>
      <c r="F622" s="43"/>
      <c r="G622" s="42"/>
      <c r="H622" s="43"/>
      <c r="I622" s="25" t="s">
        <v>15</v>
      </c>
      <c r="J622" s="34" t="str">
        <f>IF(E622="","",raw_data!C614)</f>
        <v/>
      </c>
      <c r="K622" s="46"/>
      <c r="L622" s="87"/>
      <c r="M622" s="19" t="str">
        <f>IF(E622="","",raw_data!F614)</f>
        <v/>
      </c>
      <c r="N622" s="20" t="str">
        <f t="shared" si="24"/>
        <v/>
      </c>
      <c r="O622" s="90"/>
      <c r="P622" s="91"/>
      <c r="Q622" s="91"/>
      <c r="R622" s="91"/>
      <c r="S622" s="41" t="str">
        <f t="shared" si="23"/>
        <v/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2.75" customHeight="1" x14ac:dyDescent="0.2">
      <c r="A623" s="9">
        <v>19321</v>
      </c>
      <c r="B623" s="9" t="s">
        <v>110</v>
      </c>
      <c r="C623" s="9" t="s">
        <v>293</v>
      </c>
      <c r="D623" s="23"/>
      <c r="E623" s="42"/>
      <c r="F623" s="43"/>
      <c r="G623" s="42"/>
      <c r="H623" s="43"/>
      <c r="I623" s="25" t="s">
        <v>15</v>
      </c>
      <c r="J623" s="34" t="str">
        <f>IF(E623="","",raw_data!C615)</f>
        <v/>
      </c>
      <c r="K623" s="46"/>
      <c r="L623" s="87"/>
      <c r="M623" s="19" t="str">
        <f>IF(E623="","",raw_data!F615)</f>
        <v/>
      </c>
      <c r="N623" s="20" t="str">
        <f t="shared" si="24"/>
        <v/>
      </c>
      <c r="O623" s="90"/>
      <c r="P623" s="91"/>
      <c r="Q623" s="91"/>
      <c r="R623" s="91"/>
      <c r="S623" s="41" t="str">
        <f t="shared" si="23"/>
        <v/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2.75" customHeight="1" x14ac:dyDescent="0.2">
      <c r="A624" s="9">
        <v>19322</v>
      </c>
      <c r="B624" s="9" t="s">
        <v>110</v>
      </c>
      <c r="C624" s="9" t="s">
        <v>242</v>
      </c>
      <c r="D624" s="23"/>
      <c r="E624" s="42"/>
      <c r="F624" s="43"/>
      <c r="G624" s="42"/>
      <c r="H624" s="43"/>
      <c r="I624" s="25" t="s">
        <v>15</v>
      </c>
      <c r="J624" s="34" t="str">
        <f>IF(E624="","",raw_data!C616)</f>
        <v/>
      </c>
      <c r="K624" s="46"/>
      <c r="L624" s="87"/>
      <c r="M624" s="19" t="str">
        <f>IF(E624="","",raw_data!F616)</f>
        <v/>
      </c>
      <c r="N624" s="20" t="str">
        <f t="shared" si="24"/>
        <v/>
      </c>
      <c r="O624" s="90"/>
      <c r="P624" s="91"/>
      <c r="Q624" s="91"/>
      <c r="R624" s="91"/>
      <c r="S624" s="41" t="str">
        <f t="shared" si="23"/>
        <v/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2.75" customHeight="1" x14ac:dyDescent="0.2">
      <c r="A625" s="9">
        <v>19323</v>
      </c>
      <c r="B625" s="9" t="s">
        <v>110</v>
      </c>
      <c r="C625" s="9" t="s">
        <v>80</v>
      </c>
      <c r="D625" s="23"/>
      <c r="E625" s="42"/>
      <c r="F625" s="43"/>
      <c r="G625" s="42"/>
      <c r="H625" s="43"/>
      <c r="I625" s="25" t="s">
        <v>15</v>
      </c>
      <c r="J625" s="34" t="str">
        <f>IF(E625="","",raw_data!C617)</f>
        <v/>
      </c>
      <c r="K625" s="46"/>
      <c r="L625" s="87"/>
      <c r="M625" s="19" t="str">
        <f>IF(E625="","",raw_data!F617)</f>
        <v/>
      </c>
      <c r="N625" s="20" t="str">
        <f t="shared" si="24"/>
        <v/>
      </c>
      <c r="O625" s="90"/>
      <c r="P625" s="91"/>
      <c r="Q625" s="91"/>
      <c r="R625" s="91"/>
      <c r="S625" s="41" t="str">
        <f t="shared" si="23"/>
        <v/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2.75" customHeight="1" x14ac:dyDescent="0.2">
      <c r="A626" s="9">
        <v>19324</v>
      </c>
      <c r="B626" s="9" t="s">
        <v>110</v>
      </c>
      <c r="C626" s="9" t="s">
        <v>104</v>
      </c>
      <c r="D626" s="23"/>
      <c r="E626" s="42"/>
      <c r="F626" s="43"/>
      <c r="G626" s="42"/>
      <c r="H626" s="43"/>
      <c r="I626" s="25" t="s">
        <v>15</v>
      </c>
      <c r="J626" s="34" t="str">
        <f>IF(E626="","",raw_data!C618)</f>
        <v/>
      </c>
      <c r="K626" s="46"/>
      <c r="L626" s="87"/>
      <c r="M626" s="19" t="str">
        <f>IF(E626="","",raw_data!F618)</f>
        <v/>
      </c>
      <c r="N626" s="20" t="str">
        <f t="shared" si="24"/>
        <v/>
      </c>
      <c r="O626" s="90"/>
      <c r="P626" s="91"/>
      <c r="Q626" s="91"/>
      <c r="R626" s="91"/>
      <c r="S626" s="41" t="str">
        <f t="shared" si="23"/>
        <v/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2.75" customHeight="1" x14ac:dyDescent="0.2">
      <c r="A627" s="9">
        <v>19325</v>
      </c>
      <c r="B627" s="9" t="s">
        <v>110</v>
      </c>
      <c r="C627" s="9" t="s">
        <v>81</v>
      </c>
      <c r="D627" s="23"/>
      <c r="E627" s="42"/>
      <c r="F627" s="43"/>
      <c r="G627" s="42"/>
      <c r="H627" s="43"/>
      <c r="I627" s="25" t="s">
        <v>15</v>
      </c>
      <c r="J627" s="34" t="str">
        <f>IF(E627="","",raw_data!C619)</f>
        <v/>
      </c>
      <c r="K627" s="46"/>
      <c r="L627" s="87"/>
      <c r="M627" s="19" t="str">
        <f>IF(E627="","",raw_data!F619)</f>
        <v/>
      </c>
      <c r="N627" s="20" t="str">
        <f t="shared" si="24"/>
        <v/>
      </c>
      <c r="O627" s="90"/>
      <c r="P627" s="91"/>
      <c r="Q627" s="91"/>
      <c r="R627" s="91"/>
      <c r="S627" s="41" t="str">
        <f t="shared" si="23"/>
        <v/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2.75" customHeight="1" x14ac:dyDescent="0.2">
      <c r="A628" s="9">
        <v>19326</v>
      </c>
      <c r="B628" s="9" t="s">
        <v>110</v>
      </c>
      <c r="C628" s="9" t="s">
        <v>115</v>
      </c>
      <c r="D628" s="23"/>
      <c r="E628" s="42"/>
      <c r="F628" s="43"/>
      <c r="G628" s="42"/>
      <c r="H628" s="43"/>
      <c r="I628" s="25" t="s">
        <v>15</v>
      </c>
      <c r="J628" s="34" t="str">
        <f>IF(E628="","",raw_data!C620)</f>
        <v/>
      </c>
      <c r="K628" s="46"/>
      <c r="L628" s="87"/>
      <c r="M628" s="19" t="str">
        <f>IF(E628="","",raw_data!F620)</f>
        <v/>
      </c>
      <c r="N628" s="20" t="str">
        <f t="shared" si="24"/>
        <v/>
      </c>
      <c r="O628" s="90"/>
      <c r="P628" s="91"/>
      <c r="Q628" s="91"/>
      <c r="R628" s="91"/>
      <c r="S628" s="41" t="str">
        <f t="shared" si="23"/>
        <v/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2.75" customHeight="1" x14ac:dyDescent="0.2">
      <c r="A629" s="9">
        <v>19327</v>
      </c>
      <c r="B629" s="9" t="s">
        <v>110</v>
      </c>
      <c r="C629" s="9" t="s">
        <v>294</v>
      </c>
      <c r="D629" s="23"/>
      <c r="E629" s="42"/>
      <c r="F629" s="43"/>
      <c r="G629" s="42"/>
      <c r="H629" s="43"/>
      <c r="I629" s="25" t="s">
        <v>15</v>
      </c>
      <c r="J629" s="34" t="str">
        <f>IF(E629="","",raw_data!C621)</f>
        <v/>
      </c>
      <c r="K629" s="46"/>
      <c r="L629" s="87"/>
      <c r="M629" s="19" t="str">
        <f>IF(E629="","",raw_data!F621)</f>
        <v/>
      </c>
      <c r="N629" s="20" t="str">
        <f t="shared" si="24"/>
        <v/>
      </c>
      <c r="O629" s="90"/>
      <c r="P629" s="91"/>
      <c r="Q629" s="91"/>
      <c r="R629" s="91"/>
      <c r="S629" s="41" t="str">
        <f t="shared" si="23"/>
        <v/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2.75" customHeight="1" x14ac:dyDescent="0.2">
      <c r="A630" s="9">
        <v>19328</v>
      </c>
      <c r="B630" s="9" t="s">
        <v>110</v>
      </c>
      <c r="C630" s="9" t="s">
        <v>116</v>
      </c>
      <c r="D630" s="23"/>
      <c r="E630" s="42"/>
      <c r="F630" s="43"/>
      <c r="G630" s="42"/>
      <c r="H630" s="43"/>
      <c r="I630" s="25" t="s">
        <v>15</v>
      </c>
      <c r="J630" s="34" t="str">
        <f>IF(E630="","",raw_data!C622)</f>
        <v/>
      </c>
      <c r="K630" s="46"/>
      <c r="L630" s="87"/>
      <c r="M630" s="19" t="str">
        <f>IF(E630="","",raw_data!F622)</f>
        <v/>
      </c>
      <c r="N630" s="20" t="str">
        <f t="shared" si="24"/>
        <v/>
      </c>
      <c r="O630" s="90"/>
      <c r="P630" s="91"/>
      <c r="Q630" s="91"/>
      <c r="R630" s="91"/>
      <c r="S630" s="41" t="str">
        <f t="shared" si="23"/>
        <v/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2.75" customHeight="1" x14ac:dyDescent="0.2">
      <c r="A631" s="9">
        <v>19329</v>
      </c>
      <c r="B631" s="9" t="s">
        <v>110</v>
      </c>
      <c r="C631" s="9" t="s">
        <v>295</v>
      </c>
      <c r="D631" s="23"/>
      <c r="E631" s="42"/>
      <c r="F631" s="43"/>
      <c r="G631" s="42"/>
      <c r="H631" s="43"/>
      <c r="I631" s="25" t="s">
        <v>15</v>
      </c>
      <c r="J631" s="34" t="str">
        <f>IF(E631="","",raw_data!C623)</f>
        <v/>
      </c>
      <c r="K631" s="46"/>
      <c r="L631" s="87"/>
      <c r="M631" s="19" t="str">
        <f>IF(E631="","",raw_data!F623)</f>
        <v/>
      </c>
      <c r="N631" s="20" t="str">
        <f t="shared" si="24"/>
        <v/>
      </c>
      <c r="O631" s="90"/>
      <c r="P631" s="91"/>
      <c r="Q631" s="91"/>
      <c r="R631" s="91"/>
      <c r="S631" s="41" t="str">
        <f t="shared" si="23"/>
        <v/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2.75" customHeight="1" x14ac:dyDescent="0.2">
      <c r="A632" s="9">
        <v>19330</v>
      </c>
      <c r="B632" s="9" t="s">
        <v>110</v>
      </c>
      <c r="C632" s="9" t="s">
        <v>296</v>
      </c>
      <c r="D632" s="23"/>
      <c r="E632" s="42"/>
      <c r="F632" s="43"/>
      <c r="G632" s="42"/>
      <c r="H632" s="43"/>
      <c r="I632" s="25" t="s">
        <v>15</v>
      </c>
      <c r="J632" s="34" t="str">
        <f>IF(E632="","",raw_data!C624)</f>
        <v/>
      </c>
      <c r="K632" s="46"/>
      <c r="L632" s="87"/>
      <c r="M632" s="19" t="str">
        <f>IF(E632="","",raw_data!F624)</f>
        <v/>
      </c>
      <c r="N632" s="20" t="str">
        <f t="shared" si="24"/>
        <v/>
      </c>
      <c r="O632" s="90"/>
      <c r="P632" s="91"/>
      <c r="Q632" s="91"/>
      <c r="R632" s="91"/>
      <c r="S632" s="41" t="str">
        <f t="shared" si="23"/>
        <v/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2.75" customHeight="1" x14ac:dyDescent="0.2">
      <c r="A633" s="9">
        <v>19331</v>
      </c>
      <c r="B633" s="9" t="s">
        <v>110</v>
      </c>
      <c r="C633" s="9" t="s">
        <v>117</v>
      </c>
      <c r="D633" s="23"/>
      <c r="E633" s="42"/>
      <c r="F633" s="43"/>
      <c r="G633" s="42"/>
      <c r="H633" s="43"/>
      <c r="I633" s="25" t="s">
        <v>15</v>
      </c>
      <c r="J633" s="34" t="str">
        <f>IF(E633="","",raw_data!C625)</f>
        <v/>
      </c>
      <c r="K633" s="46"/>
      <c r="L633" s="87"/>
      <c r="M633" s="19" t="str">
        <f>IF(E633="","",raw_data!F625)</f>
        <v/>
      </c>
      <c r="N633" s="20" t="str">
        <f t="shared" si="24"/>
        <v/>
      </c>
      <c r="O633" s="90"/>
      <c r="P633" s="91"/>
      <c r="Q633" s="91"/>
      <c r="R633" s="91"/>
      <c r="S633" s="41" t="str">
        <f t="shared" si="23"/>
        <v/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2.75" customHeight="1" x14ac:dyDescent="0.2">
      <c r="A634" s="9">
        <v>19332</v>
      </c>
      <c r="B634" s="9" t="s">
        <v>110</v>
      </c>
      <c r="C634" s="9" t="s">
        <v>297</v>
      </c>
      <c r="D634" s="23"/>
      <c r="E634" s="42"/>
      <c r="F634" s="43"/>
      <c r="G634" s="42"/>
      <c r="H634" s="43"/>
      <c r="I634" s="25" t="s">
        <v>15</v>
      </c>
      <c r="J634" s="34" t="str">
        <f>IF(E634="","",raw_data!C626)</f>
        <v/>
      </c>
      <c r="K634" s="46"/>
      <c r="L634" s="87"/>
      <c r="M634" s="19" t="str">
        <f>IF(E634="","",raw_data!F626)</f>
        <v/>
      </c>
      <c r="N634" s="20" t="str">
        <f t="shared" si="24"/>
        <v/>
      </c>
      <c r="O634" s="90"/>
      <c r="P634" s="91"/>
      <c r="Q634" s="91"/>
      <c r="R634" s="91"/>
      <c r="S634" s="41" t="str">
        <f t="shared" si="23"/>
        <v/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2.75" customHeight="1" x14ac:dyDescent="0.2">
      <c r="A635" s="9">
        <v>19333</v>
      </c>
      <c r="B635" s="9" t="s">
        <v>110</v>
      </c>
      <c r="C635" s="9" t="s">
        <v>298</v>
      </c>
      <c r="D635" s="23"/>
      <c r="E635" s="42"/>
      <c r="F635" s="43"/>
      <c r="G635" s="42"/>
      <c r="H635" s="43"/>
      <c r="I635" s="25" t="s">
        <v>15</v>
      </c>
      <c r="J635" s="34" t="str">
        <f>IF(E635="","",raw_data!C627)</f>
        <v/>
      </c>
      <c r="K635" s="46"/>
      <c r="L635" s="87"/>
      <c r="M635" s="19" t="str">
        <f>IF(E635="","",raw_data!F627)</f>
        <v/>
      </c>
      <c r="N635" s="20" t="str">
        <f t="shared" si="24"/>
        <v/>
      </c>
      <c r="O635" s="90"/>
      <c r="P635" s="91"/>
      <c r="Q635" s="91"/>
      <c r="R635" s="91"/>
      <c r="S635" s="41" t="str">
        <f t="shared" si="23"/>
        <v/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2.75" customHeight="1" x14ac:dyDescent="0.2">
      <c r="A636" s="9">
        <v>19334</v>
      </c>
      <c r="B636" s="9" t="s">
        <v>110</v>
      </c>
      <c r="C636" s="9" t="s">
        <v>118</v>
      </c>
      <c r="D636" s="23"/>
      <c r="E636" s="42"/>
      <c r="F636" s="43"/>
      <c r="G636" s="42"/>
      <c r="H636" s="43"/>
      <c r="I636" s="25" t="s">
        <v>15</v>
      </c>
      <c r="J636" s="34" t="str">
        <f>IF(E636="","",raw_data!C628)</f>
        <v/>
      </c>
      <c r="K636" s="46"/>
      <c r="L636" s="87"/>
      <c r="M636" s="19" t="str">
        <f>IF(E636="","",raw_data!F628)</f>
        <v/>
      </c>
      <c r="N636" s="20" t="str">
        <f t="shared" si="24"/>
        <v/>
      </c>
      <c r="O636" s="90"/>
      <c r="P636" s="91"/>
      <c r="Q636" s="91"/>
      <c r="R636" s="91"/>
      <c r="S636" s="41" t="str">
        <f t="shared" si="23"/>
        <v/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2.75" customHeight="1" x14ac:dyDescent="0.2">
      <c r="A637" s="9">
        <v>19335</v>
      </c>
      <c r="B637" s="9" t="s">
        <v>110</v>
      </c>
      <c r="C637" s="9" t="s">
        <v>299</v>
      </c>
      <c r="D637" s="23"/>
      <c r="E637" s="42"/>
      <c r="F637" s="43"/>
      <c r="G637" s="42"/>
      <c r="H637" s="43"/>
      <c r="I637" s="25" t="s">
        <v>15</v>
      </c>
      <c r="J637" s="34" t="str">
        <f>IF(E637="","",raw_data!C629)</f>
        <v/>
      </c>
      <c r="K637" s="46"/>
      <c r="L637" s="87"/>
      <c r="M637" s="19" t="str">
        <f>IF(E637="","",raw_data!F629)</f>
        <v/>
      </c>
      <c r="N637" s="20" t="str">
        <f t="shared" si="24"/>
        <v/>
      </c>
      <c r="O637" s="90"/>
      <c r="P637" s="91"/>
      <c r="Q637" s="91"/>
      <c r="R637" s="91"/>
      <c r="S637" s="41" t="str">
        <f t="shared" si="23"/>
        <v/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2.75" customHeight="1" x14ac:dyDescent="0.2">
      <c r="A638" s="9">
        <v>19336</v>
      </c>
      <c r="B638" s="9" t="s">
        <v>110</v>
      </c>
      <c r="C638" s="9" t="s">
        <v>193</v>
      </c>
      <c r="D638" s="23"/>
      <c r="E638" s="42"/>
      <c r="F638" s="43"/>
      <c r="G638" s="42"/>
      <c r="H638" s="43"/>
      <c r="I638" s="25" t="s">
        <v>15</v>
      </c>
      <c r="J638" s="34" t="str">
        <f>IF(E638="","",raw_data!C630)</f>
        <v/>
      </c>
      <c r="K638" s="46"/>
      <c r="L638" s="87"/>
      <c r="M638" s="19" t="str">
        <f>IF(E638="","",raw_data!F630)</f>
        <v/>
      </c>
      <c r="N638" s="20" t="str">
        <f t="shared" si="24"/>
        <v/>
      </c>
      <c r="O638" s="90"/>
      <c r="P638" s="91"/>
      <c r="Q638" s="91"/>
      <c r="R638" s="91"/>
      <c r="S638" s="41" t="str">
        <f t="shared" si="23"/>
        <v/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2.75" customHeight="1" x14ac:dyDescent="0.2">
      <c r="A639" s="9">
        <v>19337</v>
      </c>
      <c r="B639" s="9" t="s">
        <v>110</v>
      </c>
      <c r="C639" s="9" t="s">
        <v>119</v>
      </c>
      <c r="D639" s="23"/>
      <c r="E639" s="42"/>
      <c r="F639" s="43"/>
      <c r="G639" s="42"/>
      <c r="H639" s="43"/>
      <c r="I639" s="25" t="s">
        <v>15</v>
      </c>
      <c r="J639" s="34" t="str">
        <f>IF(E639="","",raw_data!C631)</f>
        <v/>
      </c>
      <c r="K639" s="46"/>
      <c r="L639" s="87"/>
      <c r="M639" s="19" t="str">
        <f>IF(E639="","",raw_data!F631)</f>
        <v/>
      </c>
      <c r="N639" s="20" t="str">
        <f t="shared" si="24"/>
        <v/>
      </c>
      <c r="O639" s="90"/>
      <c r="P639" s="91"/>
      <c r="Q639" s="91"/>
      <c r="R639" s="91"/>
      <c r="S639" s="41" t="str">
        <f t="shared" si="23"/>
        <v/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2.75" customHeight="1" x14ac:dyDescent="0.2">
      <c r="A640" s="9">
        <v>19338</v>
      </c>
      <c r="B640" s="9" t="s">
        <v>110</v>
      </c>
      <c r="C640" s="9" t="s">
        <v>56</v>
      </c>
      <c r="D640" s="23"/>
      <c r="E640" s="42"/>
      <c r="F640" s="43"/>
      <c r="G640" s="42"/>
      <c r="H640" s="43"/>
      <c r="I640" s="25" t="s">
        <v>15</v>
      </c>
      <c r="J640" s="34" t="str">
        <f>IF(E640="","",raw_data!C632)</f>
        <v/>
      </c>
      <c r="K640" s="46"/>
      <c r="L640" s="87"/>
      <c r="M640" s="19" t="str">
        <f>IF(E640="","",raw_data!F632)</f>
        <v/>
      </c>
      <c r="N640" s="20" t="str">
        <f t="shared" si="24"/>
        <v/>
      </c>
      <c r="O640" s="90"/>
      <c r="P640" s="91"/>
      <c r="Q640" s="91"/>
      <c r="R640" s="91"/>
      <c r="S640" s="41" t="str">
        <f t="shared" si="23"/>
        <v/>
      </c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2.75" customHeight="1" x14ac:dyDescent="0.2">
      <c r="A641" s="9">
        <v>19339</v>
      </c>
      <c r="B641" s="9" t="s">
        <v>120</v>
      </c>
      <c r="C641" s="9" t="s">
        <v>77</v>
      </c>
      <c r="D641" s="23"/>
      <c r="E641" s="42"/>
      <c r="F641" s="43"/>
      <c r="G641" s="42"/>
      <c r="H641" s="43"/>
      <c r="I641" s="25" t="s">
        <v>15</v>
      </c>
      <c r="J641" s="34" t="str">
        <f>IF(E641="","",raw_data!C633)</f>
        <v/>
      </c>
      <c r="K641" s="46"/>
      <c r="L641" s="87"/>
      <c r="M641" s="19" t="str">
        <f>IF(E641="","",raw_data!F633)</f>
        <v/>
      </c>
      <c r="N641" s="20" t="str">
        <f t="shared" si="24"/>
        <v/>
      </c>
      <c r="O641" s="90"/>
      <c r="P641" s="91"/>
      <c r="Q641" s="91"/>
      <c r="R641" s="91"/>
      <c r="S641" s="41" t="str">
        <f t="shared" si="23"/>
        <v/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2.75" customHeight="1" x14ac:dyDescent="0.2">
      <c r="A642" s="9">
        <v>19340</v>
      </c>
      <c r="B642" s="9" t="s">
        <v>120</v>
      </c>
      <c r="C642" s="9" t="s">
        <v>19</v>
      </c>
      <c r="D642" s="23"/>
      <c r="E642" s="42"/>
      <c r="F642" s="43"/>
      <c r="G642" s="42"/>
      <c r="H642" s="43"/>
      <c r="I642" s="25" t="s">
        <v>15</v>
      </c>
      <c r="J642" s="34" t="str">
        <f>IF(E642="","",raw_data!C634)</f>
        <v/>
      </c>
      <c r="K642" s="46"/>
      <c r="L642" s="87"/>
      <c r="M642" s="19" t="str">
        <f>IF(E642="","",raw_data!F634)</f>
        <v/>
      </c>
      <c r="N642" s="20" t="str">
        <f t="shared" si="24"/>
        <v/>
      </c>
      <c r="O642" s="90"/>
      <c r="P642" s="91"/>
      <c r="Q642" s="91"/>
      <c r="R642" s="91"/>
      <c r="S642" s="41" t="str">
        <f t="shared" si="23"/>
        <v/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2.75" customHeight="1" x14ac:dyDescent="0.2">
      <c r="A643" s="9">
        <v>19341</v>
      </c>
      <c r="B643" s="9" t="s">
        <v>120</v>
      </c>
      <c r="C643" s="9" t="s">
        <v>240</v>
      </c>
      <c r="D643" s="23"/>
      <c r="E643" s="42"/>
      <c r="F643" s="43"/>
      <c r="G643" s="42"/>
      <c r="H643" s="43"/>
      <c r="I643" s="25" t="s">
        <v>15</v>
      </c>
      <c r="J643" s="34" t="str">
        <f>IF(E643="","",raw_data!C635)</f>
        <v/>
      </c>
      <c r="K643" s="46"/>
      <c r="L643" s="87"/>
      <c r="M643" s="19" t="str">
        <f>IF(E643="","",raw_data!F635)</f>
        <v/>
      </c>
      <c r="N643" s="20" t="str">
        <f t="shared" si="24"/>
        <v/>
      </c>
      <c r="O643" s="90"/>
      <c r="P643" s="91"/>
      <c r="Q643" s="91"/>
      <c r="R643" s="91"/>
      <c r="S643" s="41" t="str">
        <f t="shared" si="23"/>
        <v/>
      </c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2.75" customHeight="1" x14ac:dyDescent="0.2">
      <c r="A644" s="9">
        <v>19342</v>
      </c>
      <c r="B644" s="9" t="s">
        <v>120</v>
      </c>
      <c r="C644" s="9" t="s">
        <v>160</v>
      </c>
      <c r="D644" s="23"/>
      <c r="E644" s="42"/>
      <c r="F644" s="43"/>
      <c r="G644" s="42"/>
      <c r="H644" s="43"/>
      <c r="I644" s="25" t="s">
        <v>15</v>
      </c>
      <c r="J644" s="34" t="str">
        <f>IF(E644="","",raw_data!C636)</f>
        <v/>
      </c>
      <c r="K644" s="46"/>
      <c r="L644" s="87"/>
      <c r="M644" s="19" t="str">
        <f>IF(E644="","",raw_data!F636)</f>
        <v/>
      </c>
      <c r="N644" s="20" t="str">
        <f t="shared" si="24"/>
        <v/>
      </c>
      <c r="O644" s="90"/>
      <c r="P644" s="91"/>
      <c r="Q644" s="91"/>
      <c r="R644" s="91"/>
      <c r="S644" s="41" t="str">
        <f t="shared" si="23"/>
        <v/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2.75" customHeight="1" x14ac:dyDescent="0.2">
      <c r="A645" s="9">
        <v>19343</v>
      </c>
      <c r="B645" s="9" t="s">
        <v>120</v>
      </c>
      <c r="C645" s="9" t="s">
        <v>161</v>
      </c>
      <c r="D645" s="23"/>
      <c r="E645" s="42"/>
      <c r="F645" s="43"/>
      <c r="G645" s="42"/>
      <c r="H645" s="43"/>
      <c r="I645" s="25" t="s">
        <v>15</v>
      </c>
      <c r="J645" s="34" t="str">
        <f>IF(E645="","",raw_data!C637)</f>
        <v/>
      </c>
      <c r="K645" s="46"/>
      <c r="L645" s="87"/>
      <c r="M645" s="19" t="str">
        <f>IF(E645="","",raw_data!F637)</f>
        <v/>
      </c>
      <c r="N645" s="20" t="str">
        <f t="shared" si="24"/>
        <v/>
      </c>
      <c r="O645" s="90"/>
      <c r="P645" s="91"/>
      <c r="Q645" s="91"/>
      <c r="R645" s="91"/>
      <c r="S645" s="41" t="str">
        <f t="shared" si="23"/>
        <v/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2.75" customHeight="1" x14ac:dyDescent="0.2">
      <c r="A646" s="9">
        <v>19344</v>
      </c>
      <c r="B646" s="9" t="s">
        <v>120</v>
      </c>
      <c r="C646" s="9" t="s">
        <v>276</v>
      </c>
      <c r="D646" s="23"/>
      <c r="E646" s="42"/>
      <c r="F646" s="43"/>
      <c r="G646" s="42"/>
      <c r="H646" s="43"/>
      <c r="I646" s="25" t="s">
        <v>15</v>
      </c>
      <c r="J646" s="34" t="str">
        <f>IF(E646="","",raw_data!C638)</f>
        <v/>
      </c>
      <c r="K646" s="46"/>
      <c r="L646" s="87"/>
      <c r="M646" s="19" t="str">
        <f>IF(E646="","",raw_data!F638)</f>
        <v/>
      </c>
      <c r="N646" s="20" t="str">
        <f t="shared" si="24"/>
        <v/>
      </c>
      <c r="O646" s="90"/>
      <c r="P646" s="91"/>
      <c r="Q646" s="91"/>
      <c r="R646" s="91"/>
      <c r="S646" s="41" t="str">
        <f t="shared" si="23"/>
        <v/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2.75" customHeight="1" x14ac:dyDescent="0.2">
      <c r="A647" s="9">
        <v>19345</v>
      </c>
      <c r="B647" s="9" t="s">
        <v>120</v>
      </c>
      <c r="C647" s="9" t="s">
        <v>260</v>
      </c>
      <c r="D647" s="23"/>
      <c r="E647" s="42"/>
      <c r="F647" s="43"/>
      <c r="G647" s="42"/>
      <c r="H647" s="43"/>
      <c r="I647" s="25" t="s">
        <v>15</v>
      </c>
      <c r="J647" s="34" t="str">
        <f>IF(E647="","",raw_data!C639)</f>
        <v/>
      </c>
      <c r="K647" s="46"/>
      <c r="L647" s="87"/>
      <c r="M647" s="19" t="str">
        <f>IF(E647="","",raw_data!F639)</f>
        <v/>
      </c>
      <c r="N647" s="20" t="str">
        <f t="shared" si="24"/>
        <v/>
      </c>
      <c r="O647" s="90"/>
      <c r="P647" s="91"/>
      <c r="Q647" s="91"/>
      <c r="R647" s="91"/>
      <c r="S647" s="41" t="str">
        <f t="shared" si="23"/>
        <v/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2.75" customHeight="1" x14ac:dyDescent="0.2">
      <c r="A648" s="9">
        <v>19346</v>
      </c>
      <c r="B648" s="9" t="s">
        <v>120</v>
      </c>
      <c r="C648" s="9" t="s">
        <v>98</v>
      </c>
      <c r="D648" s="23"/>
      <c r="E648" s="42"/>
      <c r="F648" s="43"/>
      <c r="G648" s="42"/>
      <c r="H648" s="43"/>
      <c r="I648" s="25" t="s">
        <v>15</v>
      </c>
      <c r="J648" s="34" t="str">
        <f>IF(E648="","",raw_data!C640)</f>
        <v/>
      </c>
      <c r="K648" s="46"/>
      <c r="L648" s="87"/>
      <c r="M648" s="19" t="str">
        <f>IF(E648="","",raw_data!F640)</f>
        <v/>
      </c>
      <c r="N648" s="20" t="str">
        <f t="shared" si="24"/>
        <v/>
      </c>
      <c r="O648" s="90"/>
      <c r="P648" s="91"/>
      <c r="Q648" s="91"/>
      <c r="R648" s="91"/>
      <c r="S648" s="41" t="str">
        <f t="shared" si="23"/>
        <v/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2.75" customHeight="1" x14ac:dyDescent="0.2">
      <c r="A649" s="9">
        <v>19347</v>
      </c>
      <c r="B649" s="9" t="s">
        <v>120</v>
      </c>
      <c r="C649" s="9" t="s">
        <v>277</v>
      </c>
      <c r="D649" s="23"/>
      <c r="E649" s="42"/>
      <c r="F649" s="43"/>
      <c r="G649" s="42"/>
      <c r="H649" s="43"/>
      <c r="I649" s="25" t="s">
        <v>15</v>
      </c>
      <c r="J649" s="34" t="str">
        <f>IF(E649="","",raw_data!C641)</f>
        <v/>
      </c>
      <c r="K649" s="46"/>
      <c r="L649" s="87"/>
      <c r="M649" s="19" t="str">
        <f>IF(E649="","",raw_data!F641)</f>
        <v/>
      </c>
      <c r="N649" s="20" t="str">
        <f t="shared" si="24"/>
        <v/>
      </c>
      <c r="O649" s="90"/>
      <c r="P649" s="91"/>
      <c r="Q649" s="91"/>
      <c r="R649" s="91"/>
      <c r="S649" s="41" t="str">
        <f t="shared" si="23"/>
        <v/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2.75" customHeight="1" x14ac:dyDescent="0.2">
      <c r="A650" s="9">
        <v>19348</v>
      </c>
      <c r="B650" s="9" t="s">
        <v>120</v>
      </c>
      <c r="C650" s="9" t="s">
        <v>111</v>
      </c>
      <c r="D650" s="23"/>
      <c r="E650" s="42"/>
      <c r="F650" s="43"/>
      <c r="G650" s="42"/>
      <c r="H650" s="43"/>
      <c r="I650" s="25" t="s">
        <v>15</v>
      </c>
      <c r="J650" s="34" t="str">
        <f>IF(E650="","",raw_data!C642)</f>
        <v/>
      </c>
      <c r="K650" s="46"/>
      <c r="L650" s="87"/>
      <c r="M650" s="19" t="str">
        <f>IF(E650="","",raw_data!F642)</f>
        <v/>
      </c>
      <c r="N650" s="20" t="str">
        <f t="shared" si="24"/>
        <v/>
      </c>
      <c r="O650" s="90"/>
      <c r="P650" s="91"/>
      <c r="Q650" s="91"/>
      <c r="R650" s="91"/>
      <c r="S650" s="41" t="str">
        <f t="shared" ref="S650:S713" si="25">IF(E650="","",IF(OR(NOT(ISNUMBER(N650)),N650&lt;=(1-E650)),"erfüllt",IF(G650="Fehler","mit Fehler",IF(G650="Warnung","mit Warnung",""))))</f>
        <v/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2.75" customHeight="1" x14ac:dyDescent="0.2">
      <c r="A651" s="9">
        <v>19349</v>
      </c>
      <c r="B651" s="9" t="s">
        <v>120</v>
      </c>
      <c r="C651" s="9" t="s">
        <v>278</v>
      </c>
      <c r="D651" s="23"/>
      <c r="E651" s="42"/>
      <c r="F651" s="43"/>
      <c r="G651" s="42"/>
      <c r="H651" s="43"/>
      <c r="I651" s="25" t="s">
        <v>15</v>
      </c>
      <c r="J651" s="34" t="str">
        <f>IF(E651="","",raw_data!C643)</f>
        <v/>
      </c>
      <c r="K651" s="46"/>
      <c r="L651" s="87"/>
      <c r="M651" s="19" t="str">
        <f>IF(E651="","",raw_data!F643)</f>
        <v/>
      </c>
      <c r="N651" s="20" t="str">
        <f t="shared" ref="N651:N714" si="26">IF(E651="","",IFERROR(M651/J651,"-"))</f>
        <v/>
      </c>
      <c r="O651" s="90"/>
      <c r="P651" s="91"/>
      <c r="Q651" s="91"/>
      <c r="R651" s="91"/>
      <c r="S651" s="41" t="str">
        <f t="shared" si="25"/>
        <v/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2.75" customHeight="1" x14ac:dyDescent="0.2">
      <c r="A652" s="9">
        <v>19350</v>
      </c>
      <c r="B652" s="9" t="s">
        <v>120</v>
      </c>
      <c r="C652" s="9" t="s">
        <v>279</v>
      </c>
      <c r="D652" s="23"/>
      <c r="E652" s="42"/>
      <c r="F652" s="43"/>
      <c r="G652" s="42"/>
      <c r="H652" s="43"/>
      <c r="I652" s="25" t="s">
        <v>15</v>
      </c>
      <c r="J652" s="34" t="str">
        <f>IF(E652="","",raw_data!C644)</f>
        <v/>
      </c>
      <c r="K652" s="46"/>
      <c r="L652" s="87"/>
      <c r="M652" s="19" t="str">
        <f>IF(E652="","",raw_data!F644)</f>
        <v/>
      </c>
      <c r="N652" s="20" t="str">
        <f t="shared" si="26"/>
        <v/>
      </c>
      <c r="O652" s="90"/>
      <c r="P652" s="91"/>
      <c r="Q652" s="91"/>
      <c r="R652" s="91"/>
      <c r="S652" s="41" t="str">
        <f t="shared" si="25"/>
        <v/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2.75" customHeight="1" x14ac:dyDescent="0.2">
      <c r="A653" s="9">
        <v>19351</v>
      </c>
      <c r="B653" s="9" t="s">
        <v>120</v>
      </c>
      <c r="C653" s="9" t="s">
        <v>280</v>
      </c>
      <c r="D653" s="23"/>
      <c r="E653" s="42"/>
      <c r="F653" s="43"/>
      <c r="G653" s="42"/>
      <c r="H653" s="43"/>
      <c r="I653" s="25" t="s">
        <v>15</v>
      </c>
      <c r="J653" s="34" t="str">
        <f>IF(E653="","",raw_data!C645)</f>
        <v/>
      </c>
      <c r="K653" s="46"/>
      <c r="L653" s="87"/>
      <c r="M653" s="19" t="str">
        <f>IF(E653="","",raw_data!F645)</f>
        <v/>
      </c>
      <c r="N653" s="20" t="str">
        <f t="shared" si="26"/>
        <v/>
      </c>
      <c r="O653" s="90"/>
      <c r="P653" s="91"/>
      <c r="Q653" s="91"/>
      <c r="R653" s="91"/>
      <c r="S653" s="41" t="str">
        <f t="shared" si="25"/>
        <v/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2.75" customHeight="1" x14ac:dyDescent="0.2">
      <c r="A654" s="9">
        <v>19352</v>
      </c>
      <c r="B654" s="9" t="s">
        <v>120</v>
      </c>
      <c r="C654" s="9" t="s">
        <v>281</v>
      </c>
      <c r="D654" s="23"/>
      <c r="E654" s="42"/>
      <c r="F654" s="43"/>
      <c r="G654" s="42"/>
      <c r="H654" s="43"/>
      <c r="I654" s="25" t="s">
        <v>15</v>
      </c>
      <c r="J654" s="34" t="str">
        <f>IF(E654="","",raw_data!C646)</f>
        <v/>
      </c>
      <c r="K654" s="46"/>
      <c r="L654" s="87"/>
      <c r="M654" s="19" t="str">
        <f>IF(E654="","",raw_data!F646)</f>
        <v/>
      </c>
      <c r="N654" s="20" t="str">
        <f t="shared" si="26"/>
        <v/>
      </c>
      <c r="O654" s="90"/>
      <c r="P654" s="91"/>
      <c r="Q654" s="91"/>
      <c r="R654" s="91"/>
      <c r="S654" s="41" t="str">
        <f t="shared" si="25"/>
        <v/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2.75" customHeight="1" x14ac:dyDescent="0.2">
      <c r="A655" s="9">
        <v>19353</v>
      </c>
      <c r="B655" s="9" t="s">
        <v>120</v>
      </c>
      <c r="C655" s="9" t="s">
        <v>282</v>
      </c>
      <c r="D655" s="23"/>
      <c r="E655" s="42"/>
      <c r="F655" s="43"/>
      <c r="G655" s="42"/>
      <c r="H655" s="43"/>
      <c r="I655" s="25" t="s">
        <v>15</v>
      </c>
      <c r="J655" s="34" t="str">
        <f>IF(E655="","",raw_data!C647)</f>
        <v/>
      </c>
      <c r="K655" s="46"/>
      <c r="L655" s="87"/>
      <c r="M655" s="19" t="str">
        <f>IF(E655="","",raw_data!F647)</f>
        <v/>
      </c>
      <c r="N655" s="20" t="str">
        <f t="shared" si="26"/>
        <v/>
      </c>
      <c r="O655" s="90"/>
      <c r="P655" s="91"/>
      <c r="Q655" s="91"/>
      <c r="R655" s="91"/>
      <c r="S655" s="41" t="str">
        <f t="shared" si="25"/>
        <v/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2.75" customHeight="1" x14ac:dyDescent="0.2">
      <c r="A656" s="9">
        <v>19354</v>
      </c>
      <c r="B656" s="9" t="s">
        <v>120</v>
      </c>
      <c r="C656" s="9" t="s">
        <v>283</v>
      </c>
      <c r="D656" s="23"/>
      <c r="E656" s="42"/>
      <c r="F656" s="43"/>
      <c r="G656" s="42"/>
      <c r="H656" s="43"/>
      <c r="I656" s="25" t="s">
        <v>15</v>
      </c>
      <c r="J656" s="34" t="str">
        <f>IF(E656="","",raw_data!C648)</f>
        <v/>
      </c>
      <c r="K656" s="46"/>
      <c r="L656" s="87"/>
      <c r="M656" s="19" t="str">
        <f>IF(E656="","",raw_data!F648)</f>
        <v/>
      </c>
      <c r="N656" s="20" t="str">
        <f t="shared" si="26"/>
        <v/>
      </c>
      <c r="O656" s="90"/>
      <c r="P656" s="91"/>
      <c r="Q656" s="91"/>
      <c r="R656" s="91"/>
      <c r="S656" s="41" t="str">
        <f t="shared" si="25"/>
        <v/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2.75" customHeight="1" x14ac:dyDescent="0.2">
      <c r="A657" s="9">
        <v>19355</v>
      </c>
      <c r="B657" s="9" t="s">
        <v>120</v>
      </c>
      <c r="C657" s="9" t="s">
        <v>261</v>
      </c>
      <c r="D657" s="23"/>
      <c r="E657" s="42"/>
      <c r="F657" s="43"/>
      <c r="G657" s="42"/>
      <c r="H657" s="43"/>
      <c r="I657" s="25" t="s">
        <v>15</v>
      </c>
      <c r="J657" s="34" t="str">
        <f>IF(E657="","",raw_data!C649)</f>
        <v/>
      </c>
      <c r="K657" s="46"/>
      <c r="L657" s="87"/>
      <c r="M657" s="19" t="str">
        <f>IF(E657="","",raw_data!F649)</f>
        <v/>
      </c>
      <c r="N657" s="20" t="str">
        <f t="shared" si="26"/>
        <v/>
      </c>
      <c r="O657" s="90"/>
      <c r="P657" s="91"/>
      <c r="Q657" s="91"/>
      <c r="R657" s="91"/>
      <c r="S657" s="41" t="str">
        <f t="shared" si="25"/>
        <v/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2.75" customHeight="1" x14ac:dyDescent="0.2">
      <c r="A658" s="9">
        <v>19356</v>
      </c>
      <c r="B658" s="9" t="s">
        <v>120</v>
      </c>
      <c r="C658" s="9" t="s">
        <v>262</v>
      </c>
      <c r="D658" s="23"/>
      <c r="E658" s="42"/>
      <c r="F658" s="43"/>
      <c r="G658" s="42"/>
      <c r="H658" s="43"/>
      <c r="I658" s="25" t="s">
        <v>15</v>
      </c>
      <c r="J658" s="34" t="str">
        <f>IF(E658="","",raw_data!C650)</f>
        <v/>
      </c>
      <c r="K658" s="46"/>
      <c r="L658" s="87"/>
      <c r="M658" s="19" t="str">
        <f>IF(E658="","",raw_data!F650)</f>
        <v/>
      </c>
      <c r="N658" s="20" t="str">
        <f t="shared" si="26"/>
        <v/>
      </c>
      <c r="O658" s="90"/>
      <c r="P658" s="91"/>
      <c r="Q658" s="91"/>
      <c r="R658" s="91"/>
      <c r="S658" s="41" t="str">
        <f t="shared" si="25"/>
        <v/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2.75" customHeight="1" x14ac:dyDescent="0.2">
      <c r="A659" s="9">
        <v>19357</v>
      </c>
      <c r="B659" s="9" t="s">
        <v>120</v>
      </c>
      <c r="C659" s="9" t="s">
        <v>284</v>
      </c>
      <c r="D659" s="23"/>
      <c r="E659" s="42"/>
      <c r="F659" s="43"/>
      <c r="G659" s="42"/>
      <c r="H659" s="43"/>
      <c r="I659" s="25" t="s">
        <v>15</v>
      </c>
      <c r="J659" s="34" t="str">
        <f>IF(E659="","",raw_data!C651)</f>
        <v/>
      </c>
      <c r="K659" s="46"/>
      <c r="L659" s="87"/>
      <c r="M659" s="19" t="str">
        <f>IF(E659="","",raw_data!F651)</f>
        <v/>
      </c>
      <c r="N659" s="20" t="str">
        <f t="shared" si="26"/>
        <v/>
      </c>
      <c r="O659" s="90"/>
      <c r="P659" s="91"/>
      <c r="Q659" s="91"/>
      <c r="R659" s="91"/>
      <c r="S659" s="41" t="str">
        <f t="shared" si="25"/>
        <v/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2.75" customHeight="1" x14ac:dyDescent="0.2">
      <c r="A660" s="9">
        <v>19358</v>
      </c>
      <c r="B660" s="9" t="s">
        <v>120</v>
      </c>
      <c r="C660" s="9" t="s">
        <v>285</v>
      </c>
      <c r="D660" s="23"/>
      <c r="E660" s="42"/>
      <c r="F660" s="43"/>
      <c r="G660" s="42"/>
      <c r="H660" s="43"/>
      <c r="I660" s="25" t="s">
        <v>15</v>
      </c>
      <c r="J660" s="34" t="str">
        <f>IF(E660="","",raw_data!C652)</f>
        <v/>
      </c>
      <c r="K660" s="46"/>
      <c r="L660" s="87"/>
      <c r="M660" s="19" t="str">
        <f>IF(E660="","",raw_data!F652)</f>
        <v/>
      </c>
      <c r="N660" s="20" t="str">
        <f t="shared" si="26"/>
        <v/>
      </c>
      <c r="O660" s="90"/>
      <c r="P660" s="91"/>
      <c r="Q660" s="91"/>
      <c r="R660" s="91"/>
      <c r="S660" s="41" t="str">
        <f t="shared" si="25"/>
        <v/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2.75" customHeight="1" x14ac:dyDescent="0.2">
      <c r="A661" s="9">
        <v>19359</v>
      </c>
      <c r="B661" s="9" t="s">
        <v>120</v>
      </c>
      <c r="C661" s="9" t="s">
        <v>263</v>
      </c>
      <c r="D661" s="23"/>
      <c r="E661" s="42"/>
      <c r="F661" s="43"/>
      <c r="G661" s="42"/>
      <c r="H661" s="43"/>
      <c r="I661" s="25" t="s">
        <v>15</v>
      </c>
      <c r="J661" s="34" t="str">
        <f>IF(E661="","",raw_data!C653)</f>
        <v/>
      </c>
      <c r="K661" s="46"/>
      <c r="L661" s="87"/>
      <c r="M661" s="19" t="str">
        <f>IF(E661="","",raw_data!F653)</f>
        <v/>
      </c>
      <c r="N661" s="20" t="str">
        <f t="shared" si="26"/>
        <v/>
      </c>
      <c r="O661" s="90"/>
      <c r="P661" s="91"/>
      <c r="Q661" s="91"/>
      <c r="R661" s="91"/>
      <c r="S661" s="41" t="str">
        <f t="shared" si="25"/>
        <v/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2.75" customHeight="1" x14ac:dyDescent="0.2">
      <c r="A662" s="9">
        <v>19360</v>
      </c>
      <c r="B662" s="9" t="s">
        <v>120</v>
      </c>
      <c r="C662" s="9" t="s">
        <v>99</v>
      </c>
      <c r="D662" s="23"/>
      <c r="E662" s="42"/>
      <c r="F662" s="43"/>
      <c r="G662" s="42"/>
      <c r="H662" s="43"/>
      <c r="I662" s="25" t="s">
        <v>15</v>
      </c>
      <c r="J662" s="34" t="str">
        <f>IF(E662="","",raw_data!C654)</f>
        <v/>
      </c>
      <c r="K662" s="46"/>
      <c r="L662" s="87"/>
      <c r="M662" s="19" t="str">
        <f>IF(E662="","",raw_data!F654)</f>
        <v/>
      </c>
      <c r="N662" s="20" t="str">
        <f t="shared" si="26"/>
        <v/>
      </c>
      <c r="O662" s="90"/>
      <c r="P662" s="91"/>
      <c r="Q662" s="91"/>
      <c r="R662" s="91"/>
      <c r="S662" s="41" t="str">
        <f t="shared" si="25"/>
        <v/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2.75" customHeight="1" x14ac:dyDescent="0.2">
      <c r="A663" s="9">
        <v>19361</v>
      </c>
      <c r="B663" s="9" t="s">
        <v>120</v>
      </c>
      <c r="C663" s="9" t="s">
        <v>286</v>
      </c>
      <c r="D663" s="23"/>
      <c r="E663" s="42"/>
      <c r="F663" s="43"/>
      <c r="G663" s="42"/>
      <c r="H663" s="43"/>
      <c r="I663" s="25" t="s">
        <v>15</v>
      </c>
      <c r="J663" s="34" t="str">
        <f>IF(E663="","",raw_data!C655)</f>
        <v/>
      </c>
      <c r="K663" s="46"/>
      <c r="L663" s="87"/>
      <c r="M663" s="19" t="str">
        <f>IF(E663="","",raw_data!F655)</f>
        <v/>
      </c>
      <c r="N663" s="20" t="str">
        <f t="shared" si="26"/>
        <v/>
      </c>
      <c r="O663" s="90"/>
      <c r="P663" s="91"/>
      <c r="Q663" s="91"/>
      <c r="R663" s="91"/>
      <c r="S663" s="41" t="str">
        <f t="shared" si="25"/>
        <v/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2.75" customHeight="1" x14ac:dyDescent="0.2">
      <c r="A664" s="9">
        <v>19362</v>
      </c>
      <c r="B664" s="9" t="s">
        <v>120</v>
      </c>
      <c r="C664" s="9" t="s">
        <v>112</v>
      </c>
      <c r="D664" s="23"/>
      <c r="E664" s="42"/>
      <c r="F664" s="43"/>
      <c r="G664" s="42"/>
      <c r="H664" s="43"/>
      <c r="I664" s="25" t="s">
        <v>15</v>
      </c>
      <c r="J664" s="34" t="str">
        <f>IF(E664="","",raw_data!C656)</f>
        <v/>
      </c>
      <c r="K664" s="46"/>
      <c r="L664" s="87"/>
      <c r="M664" s="19" t="str">
        <f>IF(E664="","",raw_data!F656)</f>
        <v/>
      </c>
      <c r="N664" s="20" t="str">
        <f t="shared" si="26"/>
        <v/>
      </c>
      <c r="O664" s="90"/>
      <c r="P664" s="91"/>
      <c r="Q664" s="91"/>
      <c r="R664" s="91"/>
      <c r="S664" s="41" t="str">
        <f t="shared" si="25"/>
        <v/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2.75" customHeight="1" x14ac:dyDescent="0.2">
      <c r="A665" s="9">
        <v>19363</v>
      </c>
      <c r="B665" s="9" t="s">
        <v>120</v>
      </c>
      <c r="C665" s="9" t="s">
        <v>264</v>
      </c>
      <c r="D665" s="23"/>
      <c r="E665" s="42"/>
      <c r="F665" s="43"/>
      <c r="G665" s="42"/>
      <c r="H665" s="43"/>
      <c r="I665" s="25" t="s">
        <v>15</v>
      </c>
      <c r="J665" s="34" t="str">
        <f>IF(E665="","",raw_data!C657)</f>
        <v/>
      </c>
      <c r="K665" s="46"/>
      <c r="L665" s="87"/>
      <c r="M665" s="19" t="str">
        <f>IF(E665="","",raw_data!F657)</f>
        <v/>
      </c>
      <c r="N665" s="20" t="str">
        <f t="shared" si="26"/>
        <v/>
      </c>
      <c r="O665" s="90"/>
      <c r="P665" s="91"/>
      <c r="Q665" s="91"/>
      <c r="R665" s="91"/>
      <c r="S665" s="41" t="str">
        <f t="shared" si="25"/>
        <v/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2.75" customHeight="1" x14ac:dyDescent="0.2">
      <c r="A666" s="9">
        <v>19364</v>
      </c>
      <c r="B666" s="9" t="s">
        <v>120</v>
      </c>
      <c r="C666" s="9" t="s">
        <v>265</v>
      </c>
      <c r="D666" s="23"/>
      <c r="E666" s="42"/>
      <c r="F666" s="43"/>
      <c r="G666" s="42"/>
      <c r="H666" s="43"/>
      <c r="I666" s="25" t="s">
        <v>15</v>
      </c>
      <c r="J666" s="34" t="str">
        <f>IF(E666="","",raw_data!C658)</f>
        <v/>
      </c>
      <c r="K666" s="46"/>
      <c r="L666" s="87"/>
      <c r="M666" s="19" t="str">
        <f>IF(E666="","",raw_data!F658)</f>
        <v/>
      </c>
      <c r="N666" s="20" t="str">
        <f t="shared" si="26"/>
        <v/>
      </c>
      <c r="O666" s="90"/>
      <c r="P666" s="91"/>
      <c r="Q666" s="91"/>
      <c r="R666" s="91"/>
      <c r="S666" s="41" t="str">
        <f t="shared" si="25"/>
        <v/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2.75" customHeight="1" x14ac:dyDescent="0.2">
      <c r="A667" s="9">
        <v>19365</v>
      </c>
      <c r="B667" s="9" t="s">
        <v>120</v>
      </c>
      <c r="C667" s="9" t="s">
        <v>287</v>
      </c>
      <c r="D667" s="23"/>
      <c r="E667" s="42"/>
      <c r="F667" s="43"/>
      <c r="G667" s="42"/>
      <c r="H667" s="43"/>
      <c r="I667" s="25" t="s">
        <v>15</v>
      </c>
      <c r="J667" s="34" t="str">
        <f>IF(E667="","",raw_data!C659)</f>
        <v/>
      </c>
      <c r="K667" s="46"/>
      <c r="L667" s="87"/>
      <c r="M667" s="19" t="str">
        <f>IF(E667="","",raw_data!F659)</f>
        <v/>
      </c>
      <c r="N667" s="20" t="str">
        <f t="shared" si="26"/>
        <v/>
      </c>
      <c r="O667" s="90"/>
      <c r="P667" s="91"/>
      <c r="Q667" s="91"/>
      <c r="R667" s="91"/>
      <c r="S667" s="41" t="str">
        <f t="shared" si="25"/>
        <v/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2.75" customHeight="1" x14ac:dyDescent="0.2">
      <c r="A668" s="9">
        <v>19366</v>
      </c>
      <c r="B668" s="9" t="s">
        <v>120</v>
      </c>
      <c r="C668" s="9" t="s">
        <v>288</v>
      </c>
      <c r="D668" s="23"/>
      <c r="E668" s="42"/>
      <c r="F668" s="43"/>
      <c r="G668" s="42"/>
      <c r="H668" s="43"/>
      <c r="I668" s="25" t="s">
        <v>15</v>
      </c>
      <c r="J668" s="34" t="str">
        <f>IF(E668="","",raw_data!C660)</f>
        <v/>
      </c>
      <c r="K668" s="46"/>
      <c r="L668" s="87"/>
      <c r="M668" s="19" t="str">
        <f>IF(E668="","",raw_data!F660)</f>
        <v/>
      </c>
      <c r="N668" s="20" t="str">
        <f t="shared" si="26"/>
        <v/>
      </c>
      <c r="O668" s="90"/>
      <c r="P668" s="91"/>
      <c r="Q668" s="91"/>
      <c r="R668" s="91"/>
      <c r="S668" s="41" t="str">
        <f t="shared" si="25"/>
        <v/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2.75" customHeight="1" x14ac:dyDescent="0.2">
      <c r="A669" s="9">
        <v>19367</v>
      </c>
      <c r="B669" s="9" t="s">
        <v>120</v>
      </c>
      <c r="C669" s="9" t="s">
        <v>214</v>
      </c>
      <c r="D669" s="23"/>
      <c r="E669" s="42"/>
      <c r="F669" s="43"/>
      <c r="G669" s="42"/>
      <c r="H669" s="43"/>
      <c r="I669" s="25" t="s">
        <v>15</v>
      </c>
      <c r="J669" s="34" t="str">
        <f>IF(E669="","",raw_data!C661)</f>
        <v/>
      </c>
      <c r="K669" s="46"/>
      <c r="L669" s="87"/>
      <c r="M669" s="19" t="str">
        <f>IF(E669="","",raw_data!F661)</f>
        <v/>
      </c>
      <c r="N669" s="20" t="str">
        <f t="shared" si="26"/>
        <v/>
      </c>
      <c r="O669" s="90"/>
      <c r="P669" s="91"/>
      <c r="Q669" s="91"/>
      <c r="R669" s="91"/>
      <c r="S669" s="41" t="str">
        <f t="shared" si="25"/>
        <v/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2.75" customHeight="1" x14ac:dyDescent="0.2">
      <c r="A670" s="9">
        <v>19368</v>
      </c>
      <c r="B670" s="9" t="s">
        <v>120</v>
      </c>
      <c r="C670" s="9" t="s">
        <v>101</v>
      </c>
      <c r="D670" s="23"/>
      <c r="E670" s="42"/>
      <c r="F670" s="43"/>
      <c r="G670" s="42"/>
      <c r="H670" s="43"/>
      <c r="I670" s="25" t="s">
        <v>15</v>
      </c>
      <c r="J670" s="34" t="str">
        <f>IF(E670="","",raw_data!C662)</f>
        <v/>
      </c>
      <c r="K670" s="46"/>
      <c r="L670" s="87"/>
      <c r="M670" s="19" t="str">
        <f>IF(E670="","",raw_data!F662)</f>
        <v/>
      </c>
      <c r="N670" s="20" t="str">
        <f t="shared" si="26"/>
        <v/>
      </c>
      <c r="O670" s="90"/>
      <c r="P670" s="91"/>
      <c r="Q670" s="91"/>
      <c r="R670" s="91"/>
      <c r="S670" s="41" t="str">
        <f t="shared" si="25"/>
        <v/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2.75" customHeight="1" x14ac:dyDescent="0.2">
      <c r="A671" s="9">
        <v>19369</v>
      </c>
      <c r="B671" s="9" t="s">
        <v>120</v>
      </c>
      <c r="C671" s="9" t="s">
        <v>272</v>
      </c>
      <c r="D671" s="23"/>
      <c r="E671" s="42"/>
      <c r="F671" s="43"/>
      <c r="G671" s="42"/>
      <c r="H671" s="43"/>
      <c r="I671" s="25" t="s">
        <v>15</v>
      </c>
      <c r="J671" s="34" t="str">
        <f>IF(E671="","",raw_data!C663)</f>
        <v/>
      </c>
      <c r="K671" s="46"/>
      <c r="L671" s="87"/>
      <c r="M671" s="19" t="str">
        <f>IF(E671="","",raw_data!F663)</f>
        <v/>
      </c>
      <c r="N671" s="20" t="str">
        <f t="shared" si="26"/>
        <v/>
      </c>
      <c r="O671" s="90"/>
      <c r="P671" s="91"/>
      <c r="Q671" s="91"/>
      <c r="R671" s="91"/>
      <c r="S671" s="41" t="str">
        <f t="shared" si="25"/>
        <v/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2.75" customHeight="1" x14ac:dyDescent="0.2">
      <c r="A672" s="9">
        <v>19370</v>
      </c>
      <c r="B672" s="9" t="s">
        <v>120</v>
      </c>
      <c r="C672" s="9" t="s">
        <v>273</v>
      </c>
      <c r="D672" s="23"/>
      <c r="E672" s="42"/>
      <c r="F672" s="43"/>
      <c r="G672" s="42"/>
      <c r="H672" s="43"/>
      <c r="I672" s="25" t="s">
        <v>15</v>
      </c>
      <c r="J672" s="34" t="str">
        <f>IF(E672="","",raw_data!C664)</f>
        <v/>
      </c>
      <c r="K672" s="46"/>
      <c r="L672" s="87"/>
      <c r="M672" s="19" t="str">
        <f>IF(E672="","",raw_data!F664)</f>
        <v/>
      </c>
      <c r="N672" s="20" t="str">
        <f t="shared" si="26"/>
        <v/>
      </c>
      <c r="O672" s="90"/>
      <c r="P672" s="91"/>
      <c r="Q672" s="91"/>
      <c r="R672" s="91"/>
      <c r="S672" s="41" t="str">
        <f t="shared" si="25"/>
        <v/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2.75" customHeight="1" x14ac:dyDescent="0.2">
      <c r="A673" s="9">
        <v>19371</v>
      </c>
      <c r="B673" s="9" t="s">
        <v>120</v>
      </c>
      <c r="C673" s="9" t="s">
        <v>443</v>
      </c>
      <c r="D673" s="23"/>
      <c r="E673" s="42"/>
      <c r="F673" s="43"/>
      <c r="G673" s="42"/>
      <c r="H673" s="43"/>
      <c r="I673" s="25" t="s">
        <v>15</v>
      </c>
      <c r="J673" s="34" t="str">
        <f>IF(E673="","",raw_data!C665)</f>
        <v/>
      </c>
      <c r="K673" s="46"/>
      <c r="L673" s="87"/>
      <c r="M673" s="19" t="str">
        <f>IF(E673="","",raw_data!F665)</f>
        <v/>
      </c>
      <c r="N673" s="20" t="str">
        <f t="shared" si="26"/>
        <v/>
      </c>
      <c r="O673" s="90"/>
      <c r="P673" s="91"/>
      <c r="Q673" s="91"/>
      <c r="R673" s="91"/>
      <c r="S673" s="41" t="str">
        <f t="shared" si="25"/>
        <v/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2.75" customHeight="1" x14ac:dyDescent="0.2">
      <c r="A674" s="9">
        <v>19372</v>
      </c>
      <c r="B674" s="9" t="s">
        <v>120</v>
      </c>
      <c r="C674" s="9" t="s">
        <v>346</v>
      </c>
      <c r="D674" s="23"/>
      <c r="E674" s="42"/>
      <c r="F674" s="43"/>
      <c r="G674" s="42"/>
      <c r="H674" s="43"/>
      <c r="I674" s="25" t="s">
        <v>15</v>
      </c>
      <c r="J674" s="34" t="str">
        <f>IF(E674="","",raw_data!C666)</f>
        <v/>
      </c>
      <c r="K674" s="46"/>
      <c r="L674" s="87"/>
      <c r="M674" s="19" t="str">
        <f>IF(E674="","",raw_data!F666)</f>
        <v/>
      </c>
      <c r="N674" s="20" t="str">
        <f t="shared" si="26"/>
        <v/>
      </c>
      <c r="O674" s="90"/>
      <c r="P674" s="91"/>
      <c r="Q674" s="91"/>
      <c r="R674" s="91"/>
      <c r="S674" s="41" t="str">
        <f t="shared" si="25"/>
        <v/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2.75" customHeight="1" x14ac:dyDescent="0.2">
      <c r="A675" s="9">
        <v>19373</v>
      </c>
      <c r="B675" s="9" t="s">
        <v>120</v>
      </c>
      <c r="C675" s="9" t="s">
        <v>347</v>
      </c>
      <c r="D675" s="23"/>
      <c r="E675" s="42"/>
      <c r="F675" s="43"/>
      <c r="G675" s="42"/>
      <c r="H675" s="43"/>
      <c r="I675" s="25" t="s">
        <v>15</v>
      </c>
      <c r="J675" s="34" t="str">
        <f>IF(E675="","",raw_data!C667)</f>
        <v/>
      </c>
      <c r="K675" s="46"/>
      <c r="L675" s="87"/>
      <c r="M675" s="19" t="str">
        <f>IF(E675="","",raw_data!F667)</f>
        <v/>
      </c>
      <c r="N675" s="20" t="str">
        <f t="shared" si="26"/>
        <v/>
      </c>
      <c r="O675" s="90"/>
      <c r="P675" s="91"/>
      <c r="Q675" s="91"/>
      <c r="R675" s="91"/>
      <c r="S675" s="41" t="str">
        <f t="shared" si="25"/>
        <v/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2.75" customHeight="1" x14ac:dyDescent="0.2">
      <c r="A676" s="9">
        <v>19374</v>
      </c>
      <c r="B676" s="9" t="s">
        <v>120</v>
      </c>
      <c r="C676" s="9" t="s">
        <v>348</v>
      </c>
      <c r="D676" s="23"/>
      <c r="E676" s="42"/>
      <c r="F676" s="43"/>
      <c r="G676" s="42"/>
      <c r="H676" s="43"/>
      <c r="I676" s="25" t="s">
        <v>15</v>
      </c>
      <c r="J676" s="34" t="str">
        <f>IF(E676="","",raw_data!C668)</f>
        <v/>
      </c>
      <c r="K676" s="46"/>
      <c r="L676" s="87"/>
      <c r="M676" s="19" t="str">
        <f>IF(E676="","",raw_data!F668)</f>
        <v/>
      </c>
      <c r="N676" s="20" t="str">
        <f t="shared" si="26"/>
        <v/>
      </c>
      <c r="O676" s="90"/>
      <c r="P676" s="91"/>
      <c r="Q676" s="91"/>
      <c r="R676" s="91"/>
      <c r="S676" s="41" t="str">
        <f t="shared" si="25"/>
        <v/>
      </c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2.75" customHeight="1" x14ac:dyDescent="0.2">
      <c r="A677" s="9">
        <v>19375</v>
      </c>
      <c r="B677" s="9" t="s">
        <v>120</v>
      </c>
      <c r="C677" s="9" t="s">
        <v>349</v>
      </c>
      <c r="D677" s="23"/>
      <c r="E677" s="42"/>
      <c r="F677" s="43"/>
      <c r="G677" s="42"/>
      <c r="H677" s="43"/>
      <c r="I677" s="25" t="s">
        <v>15</v>
      </c>
      <c r="J677" s="34" t="str">
        <f>IF(E677="","",raw_data!C669)</f>
        <v/>
      </c>
      <c r="K677" s="46"/>
      <c r="L677" s="87"/>
      <c r="M677" s="19" t="str">
        <f>IF(E677="","",raw_data!F669)</f>
        <v/>
      </c>
      <c r="N677" s="20" t="str">
        <f t="shared" si="26"/>
        <v/>
      </c>
      <c r="O677" s="90"/>
      <c r="P677" s="91"/>
      <c r="Q677" s="91"/>
      <c r="R677" s="91"/>
      <c r="S677" s="41" t="str">
        <f t="shared" si="25"/>
        <v/>
      </c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2.75" customHeight="1" x14ac:dyDescent="0.2">
      <c r="A678" s="9">
        <v>19376</v>
      </c>
      <c r="B678" s="9" t="s">
        <v>120</v>
      </c>
      <c r="C678" s="9" t="s">
        <v>350</v>
      </c>
      <c r="D678" s="23"/>
      <c r="E678" s="42"/>
      <c r="F678" s="43"/>
      <c r="G678" s="42"/>
      <c r="H678" s="43"/>
      <c r="I678" s="25" t="s">
        <v>15</v>
      </c>
      <c r="J678" s="34" t="str">
        <f>IF(E678="","",raw_data!C670)</f>
        <v/>
      </c>
      <c r="K678" s="46"/>
      <c r="L678" s="87"/>
      <c r="M678" s="19" t="str">
        <f>IF(E678="","",raw_data!F670)</f>
        <v/>
      </c>
      <c r="N678" s="20" t="str">
        <f t="shared" si="26"/>
        <v/>
      </c>
      <c r="O678" s="90"/>
      <c r="P678" s="91"/>
      <c r="Q678" s="91"/>
      <c r="R678" s="91"/>
      <c r="S678" s="41" t="str">
        <f t="shared" si="25"/>
        <v/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2.75" customHeight="1" x14ac:dyDescent="0.2">
      <c r="A679" s="9">
        <v>19377</v>
      </c>
      <c r="B679" s="9" t="s">
        <v>120</v>
      </c>
      <c r="C679" s="9" t="s">
        <v>351</v>
      </c>
      <c r="D679" s="23"/>
      <c r="E679" s="42"/>
      <c r="F679" s="43"/>
      <c r="G679" s="42"/>
      <c r="H679" s="43"/>
      <c r="I679" s="25" t="s">
        <v>15</v>
      </c>
      <c r="J679" s="34" t="str">
        <f>IF(E679="","",raw_data!C671)</f>
        <v/>
      </c>
      <c r="K679" s="46"/>
      <c r="L679" s="87"/>
      <c r="M679" s="19" t="str">
        <f>IF(E679="","",raw_data!F671)</f>
        <v/>
      </c>
      <c r="N679" s="20" t="str">
        <f t="shared" si="26"/>
        <v/>
      </c>
      <c r="O679" s="90"/>
      <c r="P679" s="91"/>
      <c r="Q679" s="91"/>
      <c r="R679" s="91"/>
      <c r="S679" s="41" t="str">
        <f t="shared" si="25"/>
        <v/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2.75" customHeight="1" x14ac:dyDescent="0.2">
      <c r="A680" s="9">
        <v>19378</v>
      </c>
      <c r="B680" s="9" t="s">
        <v>120</v>
      </c>
      <c r="C680" s="9" t="s">
        <v>352</v>
      </c>
      <c r="D680" s="23"/>
      <c r="E680" s="42"/>
      <c r="F680" s="43"/>
      <c r="G680" s="42"/>
      <c r="H680" s="43"/>
      <c r="I680" s="25" t="s">
        <v>15</v>
      </c>
      <c r="J680" s="34" t="str">
        <f>IF(E680="","",raw_data!C672)</f>
        <v/>
      </c>
      <c r="K680" s="46"/>
      <c r="L680" s="87"/>
      <c r="M680" s="19" t="str">
        <f>IF(E680="","",raw_data!F672)</f>
        <v/>
      </c>
      <c r="N680" s="20" t="str">
        <f t="shared" si="26"/>
        <v/>
      </c>
      <c r="O680" s="90"/>
      <c r="P680" s="91"/>
      <c r="Q680" s="91"/>
      <c r="R680" s="91"/>
      <c r="S680" s="41" t="str">
        <f t="shared" si="25"/>
        <v/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2.75" customHeight="1" x14ac:dyDescent="0.2">
      <c r="A681" s="9">
        <v>19379</v>
      </c>
      <c r="B681" s="9" t="s">
        <v>120</v>
      </c>
      <c r="C681" s="9" t="s">
        <v>353</v>
      </c>
      <c r="D681" s="23"/>
      <c r="E681" s="42"/>
      <c r="F681" s="43"/>
      <c r="G681" s="42"/>
      <c r="H681" s="43"/>
      <c r="I681" s="25" t="s">
        <v>15</v>
      </c>
      <c r="J681" s="34" t="str">
        <f>IF(E681="","",raw_data!C673)</f>
        <v/>
      </c>
      <c r="K681" s="46"/>
      <c r="L681" s="87"/>
      <c r="M681" s="19" t="str">
        <f>IF(E681="","",raw_data!F673)</f>
        <v/>
      </c>
      <c r="N681" s="20" t="str">
        <f t="shared" si="26"/>
        <v/>
      </c>
      <c r="O681" s="90"/>
      <c r="P681" s="91"/>
      <c r="Q681" s="91"/>
      <c r="R681" s="91"/>
      <c r="S681" s="41" t="str">
        <f t="shared" si="25"/>
        <v/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2.75" customHeight="1" x14ac:dyDescent="0.2">
      <c r="A682" s="9">
        <v>19380</v>
      </c>
      <c r="B682" s="9" t="s">
        <v>120</v>
      </c>
      <c r="C682" s="9" t="s">
        <v>354</v>
      </c>
      <c r="D682" s="23"/>
      <c r="E682" s="42"/>
      <c r="F682" s="43"/>
      <c r="G682" s="42"/>
      <c r="H682" s="43"/>
      <c r="I682" s="25" t="s">
        <v>15</v>
      </c>
      <c r="J682" s="34" t="str">
        <f>IF(E682="","",raw_data!C674)</f>
        <v/>
      </c>
      <c r="K682" s="46"/>
      <c r="L682" s="87"/>
      <c r="M682" s="19" t="str">
        <f>IF(E682="","",raw_data!F674)</f>
        <v/>
      </c>
      <c r="N682" s="20" t="str">
        <f t="shared" si="26"/>
        <v/>
      </c>
      <c r="O682" s="90"/>
      <c r="P682" s="91"/>
      <c r="Q682" s="91"/>
      <c r="R682" s="91"/>
      <c r="S682" s="41" t="str">
        <f t="shared" si="25"/>
        <v/>
      </c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2.75" customHeight="1" x14ac:dyDescent="0.2">
      <c r="A683" s="9">
        <v>19381</v>
      </c>
      <c r="B683" s="9" t="s">
        <v>120</v>
      </c>
      <c r="C683" s="9" t="s">
        <v>243</v>
      </c>
      <c r="D683" s="23"/>
      <c r="E683" s="42"/>
      <c r="F683" s="43"/>
      <c r="G683" s="42"/>
      <c r="H683" s="43"/>
      <c r="I683" s="25" t="s">
        <v>15</v>
      </c>
      <c r="J683" s="34" t="str">
        <f>IF(E683="","",raw_data!C675)</f>
        <v/>
      </c>
      <c r="K683" s="46"/>
      <c r="L683" s="87"/>
      <c r="M683" s="19" t="str">
        <f>IF(E683="","",raw_data!F675)</f>
        <v/>
      </c>
      <c r="N683" s="20" t="str">
        <f t="shared" si="26"/>
        <v/>
      </c>
      <c r="O683" s="90"/>
      <c r="P683" s="91"/>
      <c r="Q683" s="91"/>
      <c r="R683" s="91"/>
      <c r="S683" s="41" t="str">
        <f t="shared" si="25"/>
        <v/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2.75" customHeight="1" x14ac:dyDescent="0.2">
      <c r="A684" s="9">
        <v>19382</v>
      </c>
      <c r="B684" s="9" t="s">
        <v>120</v>
      </c>
      <c r="C684" s="9" t="s">
        <v>244</v>
      </c>
      <c r="D684" s="23"/>
      <c r="E684" s="42"/>
      <c r="F684" s="43"/>
      <c r="G684" s="42"/>
      <c r="H684" s="43"/>
      <c r="I684" s="25" t="s">
        <v>15</v>
      </c>
      <c r="J684" s="34" t="str">
        <f>IF(E684="","",raw_data!C676)</f>
        <v/>
      </c>
      <c r="K684" s="46"/>
      <c r="L684" s="87"/>
      <c r="M684" s="19" t="str">
        <f>IF(E684="","",raw_data!F676)</f>
        <v/>
      </c>
      <c r="N684" s="20" t="str">
        <f t="shared" si="26"/>
        <v/>
      </c>
      <c r="O684" s="90"/>
      <c r="P684" s="91"/>
      <c r="Q684" s="91"/>
      <c r="R684" s="91"/>
      <c r="S684" s="41" t="str">
        <f t="shared" si="25"/>
        <v/>
      </c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2.75" customHeight="1" x14ac:dyDescent="0.2">
      <c r="A685" s="9">
        <v>19383</v>
      </c>
      <c r="B685" s="9" t="s">
        <v>120</v>
      </c>
      <c r="C685" s="9" t="s">
        <v>245</v>
      </c>
      <c r="D685" s="23"/>
      <c r="E685" s="42"/>
      <c r="F685" s="43"/>
      <c r="G685" s="42"/>
      <c r="H685" s="43"/>
      <c r="I685" s="25" t="s">
        <v>15</v>
      </c>
      <c r="J685" s="34" t="str">
        <f>IF(E685="","",raw_data!C677)</f>
        <v/>
      </c>
      <c r="K685" s="46"/>
      <c r="L685" s="87"/>
      <c r="M685" s="19" t="str">
        <f>IF(E685="","",raw_data!F677)</f>
        <v/>
      </c>
      <c r="N685" s="20" t="str">
        <f t="shared" si="26"/>
        <v/>
      </c>
      <c r="O685" s="90"/>
      <c r="P685" s="91"/>
      <c r="Q685" s="91"/>
      <c r="R685" s="91"/>
      <c r="S685" s="41" t="str">
        <f t="shared" si="25"/>
        <v/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2.75" customHeight="1" x14ac:dyDescent="0.2">
      <c r="A686" s="9">
        <v>19384</v>
      </c>
      <c r="B686" s="9" t="s">
        <v>120</v>
      </c>
      <c r="C686" s="9" t="s">
        <v>78</v>
      </c>
      <c r="D686" s="23"/>
      <c r="E686" s="42"/>
      <c r="F686" s="43"/>
      <c r="G686" s="42"/>
      <c r="H686" s="43"/>
      <c r="I686" s="25" t="s">
        <v>15</v>
      </c>
      <c r="J686" s="34" t="str">
        <f>IF(E686="","",raw_data!C678)</f>
        <v/>
      </c>
      <c r="K686" s="46"/>
      <c r="L686" s="87"/>
      <c r="M686" s="19" t="str">
        <f>IF(E686="","",raw_data!F678)</f>
        <v/>
      </c>
      <c r="N686" s="20" t="str">
        <f t="shared" si="26"/>
        <v/>
      </c>
      <c r="O686" s="90"/>
      <c r="P686" s="91"/>
      <c r="Q686" s="91"/>
      <c r="R686" s="91"/>
      <c r="S686" s="41" t="str">
        <f t="shared" si="25"/>
        <v/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2.75" customHeight="1" x14ac:dyDescent="0.2">
      <c r="A687" s="9">
        <v>19385</v>
      </c>
      <c r="B687" s="9" t="s">
        <v>120</v>
      </c>
      <c r="C687" s="9" t="s">
        <v>162</v>
      </c>
      <c r="D687" s="23"/>
      <c r="E687" s="42"/>
      <c r="F687" s="43"/>
      <c r="G687" s="42"/>
      <c r="H687" s="43"/>
      <c r="I687" s="25" t="s">
        <v>15</v>
      </c>
      <c r="J687" s="34" t="str">
        <f>IF(E687="","",raw_data!C679)</f>
        <v/>
      </c>
      <c r="K687" s="46"/>
      <c r="L687" s="87"/>
      <c r="M687" s="19" t="str">
        <f>IF(E687="","",raw_data!F679)</f>
        <v/>
      </c>
      <c r="N687" s="20" t="str">
        <f t="shared" si="26"/>
        <v/>
      </c>
      <c r="O687" s="90"/>
      <c r="P687" s="91"/>
      <c r="Q687" s="91"/>
      <c r="R687" s="91"/>
      <c r="S687" s="41" t="str">
        <f t="shared" si="25"/>
        <v/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2.75" customHeight="1" x14ac:dyDescent="0.2">
      <c r="A688" s="9">
        <v>19386</v>
      </c>
      <c r="B688" s="9" t="s">
        <v>120</v>
      </c>
      <c r="C688" s="9" t="s">
        <v>289</v>
      </c>
      <c r="D688" s="23"/>
      <c r="E688" s="42"/>
      <c r="F688" s="43"/>
      <c r="G688" s="42"/>
      <c r="H688" s="43"/>
      <c r="I688" s="25" t="s">
        <v>15</v>
      </c>
      <c r="J688" s="34" t="str">
        <f>IF(E688="","",raw_data!C680)</f>
        <v/>
      </c>
      <c r="K688" s="46"/>
      <c r="L688" s="87"/>
      <c r="M688" s="19" t="str">
        <f>IF(E688="","",raw_data!F680)</f>
        <v/>
      </c>
      <c r="N688" s="20" t="str">
        <f t="shared" si="26"/>
        <v/>
      </c>
      <c r="O688" s="90"/>
      <c r="P688" s="91"/>
      <c r="Q688" s="91"/>
      <c r="R688" s="91"/>
      <c r="S688" s="41" t="str">
        <f t="shared" si="25"/>
        <v/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2.75" customHeight="1" x14ac:dyDescent="0.2">
      <c r="A689" s="9">
        <v>19387</v>
      </c>
      <c r="B689" s="9" t="s">
        <v>120</v>
      </c>
      <c r="C689" s="9" t="s">
        <v>113</v>
      </c>
      <c r="D689" s="23"/>
      <c r="E689" s="42"/>
      <c r="F689" s="43"/>
      <c r="G689" s="42"/>
      <c r="H689" s="43"/>
      <c r="I689" s="25" t="s">
        <v>15</v>
      </c>
      <c r="J689" s="34" t="str">
        <f>IF(E689="","",raw_data!C681)</f>
        <v/>
      </c>
      <c r="K689" s="46"/>
      <c r="L689" s="87"/>
      <c r="M689" s="19" t="str">
        <f>IF(E689="","",raw_data!F681)</f>
        <v/>
      </c>
      <c r="N689" s="20" t="str">
        <f t="shared" si="26"/>
        <v/>
      </c>
      <c r="O689" s="90"/>
      <c r="P689" s="91"/>
      <c r="Q689" s="91"/>
      <c r="R689" s="91"/>
      <c r="S689" s="41" t="str">
        <f t="shared" si="25"/>
        <v/>
      </c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2.75" customHeight="1" x14ac:dyDescent="0.2">
      <c r="A690" s="9">
        <v>19388</v>
      </c>
      <c r="B690" s="9" t="s">
        <v>120</v>
      </c>
      <c r="C690" s="9" t="s">
        <v>290</v>
      </c>
      <c r="D690" s="23"/>
      <c r="E690" s="42"/>
      <c r="F690" s="43"/>
      <c r="G690" s="42"/>
      <c r="H690" s="43"/>
      <c r="I690" s="25" t="s">
        <v>15</v>
      </c>
      <c r="J690" s="34" t="str">
        <f>IF(E690="","",raw_data!C682)</f>
        <v/>
      </c>
      <c r="K690" s="46"/>
      <c r="L690" s="87"/>
      <c r="M690" s="19" t="str">
        <f>IF(E690="","",raw_data!F682)</f>
        <v/>
      </c>
      <c r="N690" s="20" t="str">
        <f t="shared" si="26"/>
        <v/>
      </c>
      <c r="O690" s="90"/>
      <c r="P690" s="91"/>
      <c r="Q690" s="91"/>
      <c r="R690" s="91"/>
      <c r="S690" s="41" t="str">
        <f t="shared" si="25"/>
        <v/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2.75" customHeight="1" x14ac:dyDescent="0.2">
      <c r="A691" s="9">
        <v>19389</v>
      </c>
      <c r="B691" s="9" t="s">
        <v>120</v>
      </c>
      <c r="C691" s="9" t="s">
        <v>355</v>
      </c>
      <c r="D691" s="23"/>
      <c r="E691" s="42"/>
      <c r="F691" s="43"/>
      <c r="G691" s="42"/>
      <c r="H691" s="43"/>
      <c r="I691" s="25" t="s">
        <v>15</v>
      </c>
      <c r="J691" s="34" t="str">
        <f>IF(E691="","",raw_data!C683)</f>
        <v/>
      </c>
      <c r="K691" s="46"/>
      <c r="L691" s="87"/>
      <c r="M691" s="19" t="str">
        <f>IF(E691="","",raw_data!F683)</f>
        <v/>
      </c>
      <c r="N691" s="20" t="str">
        <f t="shared" si="26"/>
        <v/>
      </c>
      <c r="O691" s="90"/>
      <c r="P691" s="91"/>
      <c r="Q691" s="91"/>
      <c r="R691" s="91"/>
      <c r="S691" s="41" t="str">
        <f t="shared" si="25"/>
        <v/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2.75" customHeight="1" x14ac:dyDescent="0.2">
      <c r="A692" s="9">
        <v>19390</v>
      </c>
      <c r="B692" s="9" t="s">
        <v>120</v>
      </c>
      <c r="C692" s="9" t="s">
        <v>356</v>
      </c>
      <c r="D692" s="23"/>
      <c r="E692" s="42"/>
      <c r="F692" s="43"/>
      <c r="G692" s="42"/>
      <c r="H692" s="43"/>
      <c r="I692" s="25" t="s">
        <v>15</v>
      </c>
      <c r="J692" s="34" t="str">
        <f>IF(E692="","",raw_data!C684)</f>
        <v/>
      </c>
      <c r="K692" s="46"/>
      <c r="L692" s="87"/>
      <c r="M692" s="19" t="str">
        <f>IF(E692="","",raw_data!F684)</f>
        <v/>
      </c>
      <c r="N692" s="20" t="str">
        <f t="shared" si="26"/>
        <v/>
      </c>
      <c r="O692" s="90"/>
      <c r="P692" s="91"/>
      <c r="Q692" s="91"/>
      <c r="R692" s="91"/>
      <c r="S692" s="41" t="str">
        <f t="shared" si="25"/>
        <v/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2.75" customHeight="1" x14ac:dyDescent="0.2">
      <c r="A693" s="9">
        <v>19391</v>
      </c>
      <c r="B693" s="9" t="s">
        <v>120</v>
      </c>
      <c r="C693" s="9" t="s">
        <v>357</v>
      </c>
      <c r="D693" s="23"/>
      <c r="E693" s="42"/>
      <c r="F693" s="43"/>
      <c r="G693" s="42"/>
      <c r="H693" s="43"/>
      <c r="I693" s="25" t="s">
        <v>15</v>
      </c>
      <c r="J693" s="34" t="str">
        <f>IF(E693="","",raw_data!C685)</f>
        <v/>
      </c>
      <c r="K693" s="46"/>
      <c r="L693" s="87"/>
      <c r="M693" s="19" t="str">
        <f>IF(E693="","",raw_data!F685)</f>
        <v/>
      </c>
      <c r="N693" s="20" t="str">
        <f t="shared" si="26"/>
        <v/>
      </c>
      <c r="O693" s="90"/>
      <c r="P693" s="91"/>
      <c r="Q693" s="91"/>
      <c r="R693" s="91"/>
      <c r="S693" s="41" t="str">
        <f t="shared" si="25"/>
        <v/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2.75" customHeight="1" x14ac:dyDescent="0.2">
      <c r="A694" s="9">
        <v>19392</v>
      </c>
      <c r="B694" s="9" t="s">
        <v>120</v>
      </c>
      <c r="C694" s="9" t="s">
        <v>358</v>
      </c>
      <c r="D694" s="23"/>
      <c r="E694" s="42"/>
      <c r="F694" s="43"/>
      <c r="G694" s="42"/>
      <c r="H694" s="43"/>
      <c r="I694" s="25" t="s">
        <v>15</v>
      </c>
      <c r="J694" s="34" t="str">
        <f>IF(E694="","",raw_data!C686)</f>
        <v/>
      </c>
      <c r="K694" s="46"/>
      <c r="L694" s="87"/>
      <c r="M694" s="19" t="str">
        <f>IF(E694="","",raw_data!F686)</f>
        <v/>
      </c>
      <c r="N694" s="20" t="str">
        <f t="shared" si="26"/>
        <v/>
      </c>
      <c r="O694" s="90"/>
      <c r="P694" s="91"/>
      <c r="Q694" s="91"/>
      <c r="R694" s="91"/>
      <c r="S694" s="41" t="str">
        <f t="shared" si="25"/>
        <v/>
      </c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2.75" customHeight="1" x14ac:dyDescent="0.2">
      <c r="A695" s="9">
        <v>19393</v>
      </c>
      <c r="B695" s="9" t="s">
        <v>120</v>
      </c>
      <c r="C695" s="9" t="s">
        <v>359</v>
      </c>
      <c r="D695" s="23"/>
      <c r="E695" s="42"/>
      <c r="F695" s="43"/>
      <c r="G695" s="42"/>
      <c r="H695" s="43"/>
      <c r="I695" s="25" t="s">
        <v>15</v>
      </c>
      <c r="J695" s="34" t="str">
        <f>IF(E695="","",raw_data!C687)</f>
        <v/>
      </c>
      <c r="K695" s="46"/>
      <c r="L695" s="87"/>
      <c r="M695" s="19" t="str">
        <f>IF(E695="","",raw_data!F687)</f>
        <v/>
      </c>
      <c r="N695" s="20" t="str">
        <f t="shared" si="26"/>
        <v/>
      </c>
      <c r="O695" s="90"/>
      <c r="P695" s="91"/>
      <c r="Q695" s="91"/>
      <c r="R695" s="91"/>
      <c r="S695" s="41" t="str">
        <f t="shared" si="25"/>
        <v/>
      </c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2.75" customHeight="1" x14ac:dyDescent="0.2">
      <c r="A696" s="9">
        <v>19394</v>
      </c>
      <c r="B696" s="9" t="s">
        <v>120</v>
      </c>
      <c r="C696" s="9" t="s">
        <v>360</v>
      </c>
      <c r="D696" s="23"/>
      <c r="E696" s="42"/>
      <c r="F696" s="43"/>
      <c r="G696" s="42"/>
      <c r="H696" s="43"/>
      <c r="I696" s="25" t="s">
        <v>15</v>
      </c>
      <c r="J696" s="34" t="str">
        <f>IF(E696="","",raw_data!C688)</f>
        <v/>
      </c>
      <c r="K696" s="46"/>
      <c r="L696" s="87"/>
      <c r="M696" s="19" t="str">
        <f>IF(E696="","",raw_data!F688)</f>
        <v/>
      </c>
      <c r="N696" s="20" t="str">
        <f t="shared" si="26"/>
        <v/>
      </c>
      <c r="O696" s="90"/>
      <c r="P696" s="91"/>
      <c r="Q696" s="91"/>
      <c r="R696" s="91"/>
      <c r="S696" s="41" t="str">
        <f t="shared" si="25"/>
        <v/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2.75" customHeight="1" x14ac:dyDescent="0.2">
      <c r="A697" s="9">
        <v>19395</v>
      </c>
      <c r="B697" s="9" t="s">
        <v>120</v>
      </c>
      <c r="C697" s="9" t="s">
        <v>361</v>
      </c>
      <c r="D697" s="23"/>
      <c r="E697" s="42"/>
      <c r="F697" s="43"/>
      <c r="G697" s="42"/>
      <c r="H697" s="43"/>
      <c r="I697" s="25" t="s">
        <v>15</v>
      </c>
      <c r="J697" s="34" t="str">
        <f>IF(E697="","",raw_data!C689)</f>
        <v/>
      </c>
      <c r="K697" s="46"/>
      <c r="L697" s="87"/>
      <c r="M697" s="19" t="str">
        <f>IF(E697="","",raw_data!F689)</f>
        <v/>
      </c>
      <c r="N697" s="20" t="str">
        <f t="shared" si="26"/>
        <v/>
      </c>
      <c r="O697" s="90"/>
      <c r="P697" s="91"/>
      <c r="Q697" s="91"/>
      <c r="R697" s="91"/>
      <c r="S697" s="41" t="str">
        <f t="shared" si="25"/>
        <v/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2.75" customHeight="1" x14ac:dyDescent="0.2">
      <c r="A698" s="9">
        <v>19396</v>
      </c>
      <c r="B698" s="9" t="s">
        <v>120</v>
      </c>
      <c r="C698" s="9" t="s">
        <v>362</v>
      </c>
      <c r="D698" s="23"/>
      <c r="E698" s="42"/>
      <c r="F698" s="43"/>
      <c r="G698" s="42"/>
      <c r="H698" s="43"/>
      <c r="I698" s="25" t="s">
        <v>15</v>
      </c>
      <c r="J698" s="34" t="str">
        <f>IF(E698="","",raw_data!C690)</f>
        <v/>
      </c>
      <c r="K698" s="46"/>
      <c r="L698" s="87"/>
      <c r="M698" s="19" t="str">
        <f>IF(E698="","",raw_data!F690)</f>
        <v/>
      </c>
      <c r="N698" s="20" t="str">
        <f t="shared" si="26"/>
        <v/>
      </c>
      <c r="O698" s="90"/>
      <c r="P698" s="91"/>
      <c r="Q698" s="91"/>
      <c r="R698" s="91"/>
      <c r="S698" s="41" t="str">
        <f t="shared" si="25"/>
        <v/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2.75" customHeight="1" x14ac:dyDescent="0.2">
      <c r="A699" s="9">
        <v>19397</v>
      </c>
      <c r="B699" s="9" t="s">
        <v>120</v>
      </c>
      <c r="C699" s="9" t="s">
        <v>363</v>
      </c>
      <c r="D699" s="23"/>
      <c r="E699" s="42"/>
      <c r="F699" s="43"/>
      <c r="G699" s="42"/>
      <c r="H699" s="43"/>
      <c r="I699" s="25" t="s">
        <v>15</v>
      </c>
      <c r="J699" s="34" t="str">
        <f>IF(E699="","",raw_data!C691)</f>
        <v/>
      </c>
      <c r="K699" s="46"/>
      <c r="L699" s="87"/>
      <c r="M699" s="19" t="str">
        <f>IF(E699="","",raw_data!F691)</f>
        <v/>
      </c>
      <c r="N699" s="20" t="str">
        <f t="shared" si="26"/>
        <v/>
      </c>
      <c r="O699" s="90"/>
      <c r="P699" s="91"/>
      <c r="Q699" s="91"/>
      <c r="R699" s="91"/>
      <c r="S699" s="41" t="str">
        <f t="shared" si="25"/>
        <v/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2.75" customHeight="1" x14ac:dyDescent="0.2">
      <c r="A700" s="9">
        <v>19398</v>
      </c>
      <c r="B700" s="9" t="s">
        <v>120</v>
      </c>
      <c r="C700" s="9" t="s">
        <v>121</v>
      </c>
      <c r="D700" s="23"/>
      <c r="E700" s="42"/>
      <c r="F700" s="43"/>
      <c r="G700" s="42"/>
      <c r="H700" s="43"/>
      <c r="I700" s="25" t="s">
        <v>15</v>
      </c>
      <c r="J700" s="34" t="str">
        <f>IF(E700="","",raw_data!C692)</f>
        <v/>
      </c>
      <c r="K700" s="46"/>
      <c r="L700" s="87"/>
      <c r="M700" s="19" t="str">
        <f>IF(E700="","",raw_data!F692)</f>
        <v/>
      </c>
      <c r="N700" s="20" t="str">
        <f t="shared" si="26"/>
        <v/>
      </c>
      <c r="O700" s="90"/>
      <c r="P700" s="91"/>
      <c r="Q700" s="91"/>
      <c r="R700" s="91"/>
      <c r="S700" s="41" t="str">
        <f t="shared" si="25"/>
        <v/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2.75" customHeight="1" x14ac:dyDescent="0.2">
      <c r="A701" s="9">
        <v>19399</v>
      </c>
      <c r="B701" s="9" t="s">
        <v>120</v>
      </c>
      <c r="C701" s="9" t="s">
        <v>122</v>
      </c>
      <c r="D701" s="23"/>
      <c r="E701" s="42"/>
      <c r="F701" s="43"/>
      <c r="G701" s="42"/>
      <c r="H701" s="43"/>
      <c r="I701" s="25" t="s">
        <v>15</v>
      </c>
      <c r="J701" s="34" t="str">
        <f>IF(E701="","",raw_data!C693)</f>
        <v/>
      </c>
      <c r="K701" s="46"/>
      <c r="L701" s="87"/>
      <c r="M701" s="19" t="str">
        <f>IF(E701="","",raw_data!F693)</f>
        <v/>
      </c>
      <c r="N701" s="20" t="str">
        <f t="shared" si="26"/>
        <v/>
      </c>
      <c r="O701" s="90"/>
      <c r="P701" s="91"/>
      <c r="Q701" s="91"/>
      <c r="R701" s="91"/>
      <c r="S701" s="41" t="str">
        <f t="shared" si="25"/>
        <v/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2.75" customHeight="1" x14ac:dyDescent="0.2">
      <c r="A702" s="9">
        <v>19400</v>
      </c>
      <c r="B702" s="9" t="s">
        <v>120</v>
      </c>
      <c r="C702" s="9" t="s">
        <v>270</v>
      </c>
      <c r="D702" s="23"/>
      <c r="E702" s="42"/>
      <c r="F702" s="43"/>
      <c r="G702" s="42"/>
      <c r="H702" s="43"/>
      <c r="I702" s="25" t="s">
        <v>15</v>
      </c>
      <c r="J702" s="34" t="str">
        <f>IF(E702="","",raw_data!C694)</f>
        <v/>
      </c>
      <c r="K702" s="46"/>
      <c r="L702" s="87"/>
      <c r="M702" s="19" t="str">
        <f>IF(E702="","",raw_data!F694)</f>
        <v/>
      </c>
      <c r="N702" s="20" t="str">
        <f t="shared" si="26"/>
        <v/>
      </c>
      <c r="O702" s="90"/>
      <c r="P702" s="91"/>
      <c r="Q702" s="91"/>
      <c r="R702" s="91"/>
      <c r="S702" s="41" t="str">
        <f t="shared" si="25"/>
        <v/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2.75" customHeight="1" x14ac:dyDescent="0.2">
      <c r="A703" s="9">
        <v>19401</v>
      </c>
      <c r="B703" s="9" t="s">
        <v>120</v>
      </c>
      <c r="C703" s="9" t="s">
        <v>271</v>
      </c>
      <c r="D703" s="23"/>
      <c r="E703" s="42"/>
      <c r="F703" s="43"/>
      <c r="G703" s="42"/>
      <c r="H703" s="43"/>
      <c r="I703" s="25" t="s">
        <v>15</v>
      </c>
      <c r="J703" s="34" t="str">
        <f>IF(E703="","",raw_data!C695)</f>
        <v/>
      </c>
      <c r="K703" s="46"/>
      <c r="L703" s="87"/>
      <c r="M703" s="19" t="str">
        <f>IF(E703="","",raw_data!F695)</f>
        <v/>
      </c>
      <c r="N703" s="20" t="str">
        <f t="shared" si="26"/>
        <v/>
      </c>
      <c r="O703" s="90"/>
      <c r="P703" s="91"/>
      <c r="Q703" s="91"/>
      <c r="R703" s="91"/>
      <c r="S703" s="41" t="str">
        <f t="shared" si="25"/>
        <v/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2.75" customHeight="1" x14ac:dyDescent="0.2">
      <c r="A704" s="9">
        <v>19402</v>
      </c>
      <c r="B704" s="9" t="s">
        <v>120</v>
      </c>
      <c r="C704" s="9" t="s">
        <v>444</v>
      </c>
      <c r="D704" s="23"/>
      <c r="E704" s="42"/>
      <c r="F704" s="43"/>
      <c r="G704" s="42"/>
      <c r="H704" s="43"/>
      <c r="I704" s="25" t="s">
        <v>15</v>
      </c>
      <c r="J704" s="34" t="str">
        <f>IF(E704="","",raw_data!C696)</f>
        <v/>
      </c>
      <c r="K704" s="46"/>
      <c r="L704" s="87"/>
      <c r="M704" s="19" t="str">
        <f>IF(E704="","",raw_data!F696)</f>
        <v/>
      </c>
      <c r="N704" s="20" t="str">
        <f t="shared" si="26"/>
        <v/>
      </c>
      <c r="O704" s="90"/>
      <c r="P704" s="91"/>
      <c r="Q704" s="91"/>
      <c r="R704" s="91"/>
      <c r="S704" s="41" t="str">
        <f t="shared" si="25"/>
        <v/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2.75" customHeight="1" x14ac:dyDescent="0.2">
      <c r="A705" s="9">
        <v>19403</v>
      </c>
      <c r="B705" s="9" t="s">
        <v>120</v>
      </c>
      <c r="C705" s="9" t="s">
        <v>246</v>
      </c>
      <c r="D705" s="23"/>
      <c r="E705" s="42"/>
      <c r="F705" s="43"/>
      <c r="G705" s="42"/>
      <c r="H705" s="43"/>
      <c r="I705" s="25" t="s">
        <v>15</v>
      </c>
      <c r="J705" s="34" t="str">
        <f>IF(E705="","",raw_data!C697)</f>
        <v/>
      </c>
      <c r="K705" s="46"/>
      <c r="L705" s="87"/>
      <c r="M705" s="19" t="str">
        <f>IF(E705="","",raw_data!F697)</f>
        <v/>
      </c>
      <c r="N705" s="20" t="str">
        <f t="shared" si="26"/>
        <v/>
      </c>
      <c r="O705" s="90"/>
      <c r="P705" s="91"/>
      <c r="Q705" s="91"/>
      <c r="R705" s="91"/>
      <c r="S705" s="41" t="str">
        <f t="shared" si="25"/>
        <v/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2.75" customHeight="1" x14ac:dyDescent="0.2">
      <c r="A706" s="9">
        <v>19404</v>
      </c>
      <c r="B706" s="9" t="s">
        <v>120</v>
      </c>
      <c r="C706" s="9" t="s">
        <v>247</v>
      </c>
      <c r="D706" s="23"/>
      <c r="E706" s="42"/>
      <c r="F706" s="43"/>
      <c r="G706" s="42"/>
      <c r="H706" s="43"/>
      <c r="I706" s="25" t="s">
        <v>15</v>
      </c>
      <c r="J706" s="34" t="str">
        <f>IF(E706="","",raw_data!C698)</f>
        <v/>
      </c>
      <c r="K706" s="46"/>
      <c r="L706" s="87"/>
      <c r="M706" s="19" t="str">
        <f>IF(E706="","",raw_data!F698)</f>
        <v/>
      </c>
      <c r="N706" s="20" t="str">
        <f t="shared" si="26"/>
        <v/>
      </c>
      <c r="O706" s="90"/>
      <c r="P706" s="91"/>
      <c r="Q706" s="91"/>
      <c r="R706" s="91"/>
      <c r="S706" s="41" t="str">
        <f t="shared" si="25"/>
        <v/>
      </c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2.75" customHeight="1" x14ac:dyDescent="0.2">
      <c r="A707" s="9">
        <v>19405</v>
      </c>
      <c r="B707" s="9" t="s">
        <v>120</v>
      </c>
      <c r="C707" s="9" t="s">
        <v>248</v>
      </c>
      <c r="D707" s="23"/>
      <c r="E707" s="42"/>
      <c r="F707" s="43"/>
      <c r="G707" s="42"/>
      <c r="H707" s="43"/>
      <c r="I707" s="25" t="s">
        <v>15</v>
      </c>
      <c r="J707" s="34" t="str">
        <f>IF(E707="","",raw_data!C699)</f>
        <v/>
      </c>
      <c r="K707" s="46"/>
      <c r="L707" s="87"/>
      <c r="M707" s="19" t="str">
        <f>IF(E707="","",raw_data!F699)</f>
        <v/>
      </c>
      <c r="N707" s="20" t="str">
        <f t="shared" si="26"/>
        <v/>
      </c>
      <c r="O707" s="90"/>
      <c r="P707" s="91"/>
      <c r="Q707" s="91"/>
      <c r="R707" s="91"/>
      <c r="S707" s="41" t="str">
        <f t="shared" si="25"/>
        <v/>
      </c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2.75" customHeight="1" x14ac:dyDescent="0.2">
      <c r="A708" s="9">
        <v>19406</v>
      </c>
      <c r="B708" s="9" t="s">
        <v>120</v>
      </c>
      <c r="C708" s="9" t="s">
        <v>9</v>
      </c>
      <c r="D708" s="23"/>
      <c r="E708" s="42"/>
      <c r="F708" s="43"/>
      <c r="G708" s="42"/>
      <c r="H708" s="43"/>
      <c r="I708" s="25" t="s">
        <v>15</v>
      </c>
      <c r="J708" s="34" t="str">
        <f>IF(E708="","",raw_data!C700)</f>
        <v/>
      </c>
      <c r="K708" s="46"/>
      <c r="L708" s="87"/>
      <c r="M708" s="19" t="str">
        <f>IF(E708="","",raw_data!F700)</f>
        <v/>
      </c>
      <c r="N708" s="20" t="str">
        <f t="shared" si="26"/>
        <v/>
      </c>
      <c r="O708" s="90"/>
      <c r="P708" s="91"/>
      <c r="Q708" s="91"/>
      <c r="R708" s="91"/>
      <c r="S708" s="41" t="str">
        <f t="shared" si="25"/>
        <v/>
      </c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2.75" customHeight="1" x14ac:dyDescent="0.2">
      <c r="A709" s="9">
        <v>19407</v>
      </c>
      <c r="B709" s="9" t="s">
        <v>120</v>
      </c>
      <c r="C709" s="9" t="s">
        <v>241</v>
      </c>
      <c r="D709" s="23"/>
      <c r="E709" s="42"/>
      <c r="F709" s="43"/>
      <c r="G709" s="42"/>
      <c r="H709" s="43"/>
      <c r="I709" s="25" t="s">
        <v>15</v>
      </c>
      <c r="J709" s="34" t="str">
        <f>IF(E709="","",raw_data!C701)</f>
        <v/>
      </c>
      <c r="K709" s="46"/>
      <c r="L709" s="87"/>
      <c r="M709" s="19" t="str">
        <f>IF(E709="","",raw_data!F701)</f>
        <v/>
      </c>
      <c r="N709" s="20" t="str">
        <f t="shared" si="26"/>
        <v/>
      </c>
      <c r="O709" s="90"/>
      <c r="P709" s="91"/>
      <c r="Q709" s="91"/>
      <c r="R709" s="91"/>
      <c r="S709" s="41" t="str">
        <f t="shared" si="25"/>
        <v/>
      </c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2.75" customHeight="1" x14ac:dyDescent="0.2">
      <c r="A710" s="9">
        <v>19408</v>
      </c>
      <c r="B710" s="9" t="s">
        <v>120</v>
      </c>
      <c r="C710" s="9" t="s">
        <v>291</v>
      </c>
      <c r="D710" s="23"/>
      <c r="E710" s="42"/>
      <c r="F710" s="43"/>
      <c r="G710" s="42"/>
      <c r="H710" s="43"/>
      <c r="I710" s="25" t="s">
        <v>15</v>
      </c>
      <c r="J710" s="34" t="str">
        <f>IF(E710="","",raw_data!C702)</f>
        <v/>
      </c>
      <c r="K710" s="46"/>
      <c r="L710" s="87"/>
      <c r="M710" s="19" t="str">
        <f>IF(E710="","",raw_data!F702)</f>
        <v/>
      </c>
      <c r="N710" s="20" t="str">
        <f t="shared" si="26"/>
        <v/>
      </c>
      <c r="O710" s="90"/>
      <c r="P710" s="91"/>
      <c r="Q710" s="91"/>
      <c r="R710" s="91"/>
      <c r="S710" s="41" t="str">
        <f t="shared" si="25"/>
        <v/>
      </c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2.75" customHeight="1" x14ac:dyDescent="0.2">
      <c r="A711" s="9">
        <v>19409</v>
      </c>
      <c r="B711" s="9" t="s">
        <v>120</v>
      </c>
      <c r="C711" s="9" t="s">
        <v>114</v>
      </c>
      <c r="D711" s="23"/>
      <c r="E711" s="42"/>
      <c r="F711" s="43"/>
      <c r="G711" s="42"/>
      <c r="H711" s="43"/>
      <c r="I711" s="25" t="s">
        <v>15</v>
      </c>
      <c r="J711" s="34" t="str">
        <f>IF(E711="","",raw_data!C703)</f>
        <v/>
      </c>
      <c r="K711" s="46"/>
      <c r="L711" s="87"/>
      <c r="M711" s="19" t="str">
        <f>IF(E711="","",raw_data!F703)</f>
        <v/>
      </c>
      <c r="N711" s="20" t="str">
        <f t="shared" si="26"/>
        <v/>
      </c>
      <c r="O711" s="90"/>
      <c r="P711" s="91"/>
      <c r="Q711" s="91"/>
      <c r="R711" s="91"/>
      <c r="S711" s="41" t="str">
        <f t="shared" si="25"/>
        <v/>
      </c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2.75" customHeight="1" x14ac:dyDescent="0.2">
      <c r="A712" s="9">
        <v>19410</v>
      </c>
      <c r="B712" s="9" t="s">
        <v>120</v>
      </c>
      <c r="C712" s="9" t="s">
        <v>292</v>
      </c>
      <c r="D712" s="23"/>
      <c r="E712" s="42"/>
      <c r="F712" s="43"/>
      <c r="G712" s="42"/>
      <c r="H712" s="43"/>
      <c r="I712" s="25" t="s">
        <v>15</v>
      </c>
      <c r="J712" s="34" t="str">
        <f>IF(E712="","",raw_data!C704)</f>
        <v/>
      </c>
      <c r="K712" s="46"/>
      <c r="L712" s="87"/>
      <c r="M712" s="19" t="str">
        <f>IF(E712="","",raw_data!F704)</f>
        <v/>
      </c>
      <c r="N712" s="20" t="str">
        <f t="shared" si="26"/>
        <v/>
      </c>
      <c r="O712" s="90"/>
      <c r="P712" s="91"/>
      <c r="Q712" s="91"/>
      <c r="R712" s="91"/>
      <c r="S712" s="41" t="str">
        <f t="shared" si="25"/>
        <v/>
      </c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2.75" customHeight="1" x14ac:dyDescent="0.2">
      <c r="A713" s="9">
        <v>19411</v>
      </c>
      <c r="B713" s="9" t="s">
        <v>120</v>
      </c>
      <c r="C713" s="9" t="s">
        <v>109</v>
      </c>
      <c r="D713" s="23"/>
      <c r="E713" s="42"/>
      <c r="F713" s="43"/>
      <c r="G713" s="42"/>
      <c r="H713" s="43"/>
      <c r="I713" s="25" t="s">
        <v>15</v>
      </c>
      <c r="J713" s="34" t="str">
        <f>IF(E713="","",raw_data!C705)</f>
        <v/>
      </c>
      <c r="K713" s="46"/>
      <c r="L713" s="87"/>
      <c r="M713" s="19" t="str">
        <f>IF(E713="","",raw_data!F705)</f>
        <v/>
      </c>
      <c r="N713" s="20" t="str">
        <f t="shared" si="26"/>
        <v/>
      </c>
      <c r="O713" s="90"/>
      <c r="P713" s="91"/>
      <c r="Q713" s="91"/>
      <c r="R713" s="91"/>
      <c r="S713" s="41" t="str">
        <f t="shared" si="25"/>
        <v/>
      </c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2.75" customHeight="1" x14ac:dyDescent="0.2">
      <c r="A714" s="9">
        <v>19412</v>
      </c>
      <c r="B714" s="9" t="s">
        <v>120</v>
      </c>
      <c r="C714" s="9" t="s">
        <v>79</v>
      </c>
      <c r="D714" s="23"/>
      <c r="E714" s="42"/>
      <c r="F714" s="43"/>
      <c r="G714" s="42"/>
      <c r="H714" s="43"/>
      <c r="I714" s="25" t="s">
        <v>15</v>
      </c>
      <c r="J714" s="34" t="str">
        <f>IF(E714="","",raw_data!C706)</f>
        <v/>
      </c>
      <c r="K714" s="46"/>
      <c r="L714" s="87"/>
      <c r="M714" s="19" t="str">
        <f>IF(E714="","",raw_data!F706)</f>
        <v/>
      </c>
      <c r="N714" s="20" t="str">
        <f t="shared" si="26"/>
        <v/>
      </c>
      <c r="O714" s="90"/>
      <c r="P714" s="91"/>
      <c r="Q714" s="91"/>
      <c r="R714" s="91"/>
      <c r="S714" s="41" t="str">
        <f t="shared" ref="S714:S777" si="27">IF(E714="","",IF(OR(NOT(ISNUMBER(N714)),N714&lt;=(1-E714)),"erfüllt",IF(G714="Fehler","mit Fehler",IF(G714="Warnung","mit Warnung",""))))</f>
        <v/>
      </c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2.75" customHeight="1" x14ac:dyDescent="0.2">
      <c r="A715" s="9">
        <v>19413</v>
      </c>
      <c r="B715" s="9" t="s">
        <v>120</v>
      </c>
      <c r="C715" s="9" t="s">
        <v>220</v>
      </c>
      <c r="D715" s="23"/>
      <c r="E715" s="42"/>
      <c r="F715" s="43"/>
      <c r="G715" s="42"/>
      <c r="H715" s="43"/>
      <c r="I715" s="25" t="s">
        <v>15</v>
      </c>
      <c r="J715" s="34" t="str">
        <f>IF(E715="","",raw_data!C707)</f>
        <v/>
      </c>
      <c r="K715" s="46"/>
      <c r="L715" s="87"/>
      <c r="M715" s="19" t="str">
        <f>IF(E715="","",raw_data!F707)</f>
        <v/>
      </c>
      <c r="N715" s="20" t="str">
        <f t="shared" ref="N715:N778" si="28">IF(E715="","",IFERROR(M715/J715,"-"))</f>
        <v/>
      </c>
      <c r="O715" s="90"/>
      <c r="P715" s="91"/>
      <c r="Q715" s="91"/>
      <c r="R715" s="91"/>
      <c r="S715" s="41" t="str">
        <f t="shared" si="27"/>
        <v/>
      </c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2.75" customHeight="1" x14ac:dyDescent="0.2">
      <c r="A716" s="9">
        <v>19414</v>
      </c>
      <c r="B716" s="9" t="s">
        <v>120</v>
      </c>
      <c r="C716" s="9" t="s">
        <v>103</v>
      </c>
      <c r="D716" s="23"/>
      <c r="E716" s="42"/>
      <c r="F716" s="43"/>
      <c r="G716" s="42"/>
      <c r="H716" s="43"/>
      <c r="I716" s="25" t="s">
        <v>15</v>
      </c>
      <c r="J716" s="34" t="str">
        <f>IF(E716="","",raw_data!C708)</f>
        <v/>
      </c>
      <c r="K716" s="46"/>
      <c r="L716" s="87"/>
      <c r="M716" s="19" t="str">
        <f>IF(E716="","",raw_data!F708)</f>
        <v/>
      </c>
      <c r="N716" s="20" t="str">
        <f t="shared" si="28"/>
        <v/>
      </c>
      <c r="O716" s="90"/>
      <c r="P716" s="91"/>
      <c r="Q716" s="91"/>
      <c r="R716" s="91"/>
      <c r="S716" s="41" t="str">
        <f t="shared" si="27"/>
        <v/>
      </c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2.75" customHeight="1" x14ac:dyDescent="0.2">
      <c r="A717" s="9">
        <v>19415</v>
      </c>
      <c r="B717" s="9" t="s">
        <v>120</v>
      </c>
      <c r="C717" s="9" t="s">
        <v>242</v>
      </c>
      <c r="D717" s="23"/>
      <c r="E717" s="42"/>
      <c r="F717" s="43"/>
      <c r="G717" s="42"/>
      <c r="H717" s="43"/>
      <c r="I717" s="25" t="s">
        <v>15</v>
      </c>
      <c r="J717" s="34" t="str">
        <f>IF(E717="","",raw_data!C709)</f>
        <v/>
      </c>
      <c r="K717" s="46"/>
      <c r="L717" s="87"/>
      <c r="M717" s="19" t="str">
        <f>IF(E717="","",raw_data!F709)</f>
        <v/>
      </c>
      <c r="N717" s="20" t="str">
        <f t="shared" si="28"/>
        <v/>
      </c>
      <c r="O717" s="90"/>
      <c r="P717" s="91"/>
      <c r="Q717" s="91"/>
      <c r="R717" s="91"/>
      <c r="S717" s="41" t="str">
        <f t="shared" si="27"/>
        <v/>
      </c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2.75" customHeight="1" x14ac:dyDescent="0.2">
      <c r="A718" s="9">
        <v>19416</v>
      </c>
      <c r="B718" s="9" t="s">
        <v>120</v>
      </c>
      <c r="C718" s="9" t="s">
        <v>80</v>
      </c>
      <c r="D718" s="23"/>
      <c r="E718" s="42"/>
      <c r="F718" s="43"/>
      <c r="G718" s="42"/>
      <c r="H718" s="43"/>
      <c r="I718" s="25" t="s">
        <v>15</v>
      </c>
      <c r="J718" s="34" t="str">
        <f>IF(E718="","",raw_data!C710)</f>
        <v/>
      </c>
      <c r="K718" s="46"/>
      <c r="L718" s="87"/>
      <c r="M718" s="19" t="str">
        <f>IF(E718="","",raw_data!F710)</f>
        <v/>
      </c>
      <c r="N718" s="20" t="str">
        <f t="shared" si="28"/>
        <v/>
      </c>
      <c r="O718" s="90"/>
      <c r="P718" s="91"/>
      <c r="Q718" s="91"/>
      <c r="R718" s="91"/>
      <c r="S718" s="41" t="str">
        <f t="shared" si="27"/>
        <v/>
      </c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2.75" customHeight="1" x14ac:dyDescent="0.2">
      <c r="A719" s="9">
        <v>19417</v>
      </c>
      <c r="B719" s="9" t="s">
        <v>120</v>
      </c>
      <c r="C719" s="9" t="s">
        <v>104</v>
      </c>
      <c r="D719" s="23"/>
      <c r="E719" s="42"/>
      <c r="F719" s="43"/>
      <c r="G719" s="42"/>
      <c r="H719" s="43"/>
      <c r="I719" s="25" t="s">
        <v>15</v>
      </c>
      <c r="J719" s="34" t="str">
        <f>IF(E719="","",raw_data!C711)</f>
        <v/>
      </c>
      <c r="K719" s="46"/>
      <c r="L719" s="87"/>
      <c r="M719" s="19" t="str">
        <f>IF(E719="","",raw_data!F711)</f>
        <v/>
      </c>
      <c r="N719" s="20" t="str">
        <f t="shared" si="28"/>
        <v/>
      </c>
      <c r="O719" s="90"/>
      <c r="P719" s="91"/>
      <c r="Q719" s="91"/>
      <c r="R719" s="91"/>
      <c r="S719" s="41" t="str">
        <f t="shared" si="27"/>
        <v/>
      </c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2.75" customHeight="1" x14ac:dyDescent="0.2">
      <c r="A720" s="9">
        <v>19418</v>
      </c>
      <c r="B720" s="9" t="s">
        <v>120</v>
      </c>
      <c r="C720" s="9" t="s">
        <v>81</v>
      </c>
      <c r="D720" s="23"/>
      <c r="E720" s="42"/>
      <c r="F720" s="43"/>
      <c r="G720" s="42"/>
      <c r="H720" s="43"/>
      <c r="I720" s="25" t="s">
        <v>15</v>
      </c>
      <c r="J720" s="34" t="str">
        <f>IF(E720="","",raw_data!C712)</f>
        <v/>
      </c>
      <c r="K720" s="46"/>
      <c r="L720" s="87"/>
      <c r="M720" s="19" t="str">
        <f>IF(E720="","",raw_data!F712)</f>
        <v/>
      </c>
      <c r="N720" s="20" t="str">
        <f t="shared" si="28"/>
        <v/>
      </c>
      <c r="O720" s="90"/>
      <c r="P720" s="91"/>
      <c r="Q720" s="91"/>
      <c r="R720" s="91"/>
      <c r="S720" s="41" t="str">
        <f t="shared" si="27"/>
        <v/>
      </c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2.75" customHeight="1" x14ac:dyDescent="0.2">
      <c r="A721" s="9">
        <v>19419</v>
      </c>
      <c r="B721" s="9" t="s">
        <v>120</v>
      </c>
      <c r="C721" s="9" t="s">
        <v>115</v>
      </c>
      <c r="D721" s="23"/>
      <c r="E721" s="42"/>
      <c r="F721" s="43"/>
      <c r="G721" s="42"/>
      <c r="H721" s="43"/>
      <c r="I721" s="25" t="s">
        <v>15</v>
      </c>
      <c r="J721" s="34" t="str">
        <f>IF(E721="","",raw_data!C713)</f>
        <v/>
      </c>
      <c r="K721" s="46"/>
      <c r="L721" s="87"/>
      <c r="M721" s="19" t="str">
        <f>IF(E721="","",raw_data!F713)</f>
        <v/>
      </c>
      <c r="N721" s="20" t="str">
        <f t="shared" si="28"/>
        <v/>
      </c>
      <c r="O721" s="90"/>
      <c r="P721" s="91"/>
      <c r="Q721" s="91"/>
      <c r="R721" s="91"/>
      <c r="S721" s="41" t="str">
        <f t="shared" si="27"/>
        <v/>
      </c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2.75" customHeight="1" x14ac:dyDescent="0.2">
      <c r="A722" s="9">
        <v>19420</v>
      </c>
      <c r="B722" s="9" t="s">
        <v>120</v>
      </c>
      <c r="C722" s="9" t="s">
        <v>294</v>
      </c>
      <c r="D722" s="23"/>
      <c r="E722" s="42"/>
      <c r="F722" s="43"/>
      <c r="G722" s="42"/>
      <c r="H722" s="43"/>
      <c r="I722" s="25" t="s">
        <v>15</v>
      </c>
      <c r="J722" s="34" t="str">
        <f>IF(E722="","",raw_data!C714)</f>
        <v/>
      </c>
      <c r="K722" s="46"/>
      <c r="L722" s="87"/>
      <c r="M722" s="19" t="str">
        <f>IF(E722="","",raw_data!F714)</f>
        <v/>
      </c>
      <c r="N722" s="20" t="str">
        <f t="shared" si="28"/>
        <v/>
      </c>
      <c r="O722" s="90"/>
      <c r="P722" s="91"/>
      <c r="Q722" s="91"/>
      <c r="R722" s="91"/>
      <c r="S722" s="41" t="str">
        <f t="shared" si="27"/>
        <v/>
      </c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2.75" customHeight="1" x14ac:dyDescent="0.2">
      <c r="A723" s="9">
        <v>19421</v>
      </c>
      <c r="B723" s="9" t="s">
        <v>120</v>
      </c>
      <c r="C723" s="9" t="s">
        <v>116</v>
      </c>
      <c r="D723" s="23"/>
      <c r="E723" s="42"/>
      <c r="F723" s="43"/>
      <c r="G723" s="42"/>
      <c r="H723" s="43"/>
      <c r="I723" s="25" t="s">
        <v>15</v>
      </c>
      <c r="J723" s="34" t="str">
        <f>IF(E723="","",raw_data!C715)</f>
        <v/>
      </c>
      <c r="K723" s="46"/>
      <c r="L723" s="87"/>
      <c r="M723" s="19" t="str">
        <f>IF(E723="","",raw_data!F715)</f>
        <v/>
      </c>
      <c r="N723" s="20" t="str">
        <f t="shared" si="28"/>
        <v/>
      </c>
      <c r="O723" s="90"/>
      <c r="P723" s="91"/>
      <c r="Q723" s="91"/>
      <c r="R723" s="91"/>
      <c r="S723" s="41" t="str">
        <f t="shared" si="27"/>
        <v/>
      </c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2.75" customHeight="1" x14ac:dyDescent="0.2">
      <c r="A724" s="9">
        <v>19422</v>
      </c>
      <c r="B724" s="9" t="s">
        <v>120</v>
      </c>
      <c r="C724" s="9" t="s">
        <v>295</v>
      </c>
      <c r="D724" s="23"/>
      <c r="E724" s="42"/>
      <c r="F724" s="43"/>
      <c r="G724" s="42"/>
      <c r="H724" s="43"/>
      <c r="I724" s="25" t="s">
        <v>15</v>
      </c>
      <c r="J724" s="34" t="str">
        <f>IF(E724="","",raw_data!C716)</f>
        <v/>
      </c>
      <c r="K724" s="46"/>
      <c r="L724" s="87"/>
      <c r="M724" s="19" t="str">
        <f>IF(E724="","",raw_data!F716)</f>
        <v/>
      </c>
      <c r="N724" s="20" t="str">
        <f t="shared" si="28"/>
        <v/>
      </c>
      <c r="O724" s="90"/>
      <c r="P724" s="91"/>
      <c r="Q724" s="91"/>
      <c r="R724" s="91"/>
      <c r="S724" s="41" t="str">
        <f t="shared" si="27"/>
        <v/>
      </c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2.75" customHeight="1" x14ac:dyDescent="0.2">
      <c r="A725" s="9">
        <v>19423</v>
      </c>
      <c r="B725" s="9" t="s">
        <v>120</v>
      </c>
      <c r="C725" s="9" t="s">
        <v>296</v>
      </c>
      <c r="D725" s="23"/>
      <c r="E725" s="42"/>
      <c r="F725" s="43"/>
      <c r="G725" s="42"/>
      <c r="H725" s="43"/>
      <c r="I725" s="25" t="s">
        <v>15</v>
      </c>
      <c r="J725" s="34" t="str">
        <f>IF(E725="","",raw_data!C717)</f>
        <v/>
      </c>
      <c r="K725" s="46"/>
      <c r="L725" s="87"/>
      <c r="M725" s="19" t="str">
        <f>IF(E725="","",raw_data!F717)</f>
        <v/>
      </c>
      <c r="N725" s="20" t="str">
        <f t="shared" si="28"/>
        <v/>
      </c>
      <c r="O725" s="90"/>
      <c r="P725" s="91"/>
      <c r="Q725" s="91"/>
      <c r="R725" s="91"/>
      <c r="S725" s="41" t="str">
        <f t="shared" si="27"/>
        <v/>
      </c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2.75" customHeight="1" x14ac:dyDescent="0.2">
      <c r="A726" s="9">
        <v>19424</v>
      </c>
      <c r="B726" s="9" t="s">
        <v>120</v>
      </c>
      <c r="C726" s="9" t="s">
        <v>117</v>
      </c>
      <c r="D726" s="23"/>
      <c r="E726" s="42"/>
      <c r="F726" s="43"/>
      <c r="G726" s="42"/>
      <c r="H726" s="43"/>
      <c r="I726" s="25" t="s">
        <v>15</v>
      </c>
      <c r="J726" s="34" t="str">
        <f>IF(E726="","",raw_data!C718)</f>
        <v/>
      </c>
      <c r="K726" s="46"/>
      <c r="L726" s="87"/>
      <c r="M726" s="19" t="str">
        <f>IF(E726="","",raw_data!F718)</f>
        <v/>
      </c>
      <c r="N726" s="20" t="str">
        <f t="shared" si="28"/>
        <v/>
      </c>
      <c r="O726" s="90"/>
      <c r="P726" s="91"/>
      <c r="Q726" s="91"/>
      <c r="R726" s="91"/>
      <c r="S726" s="41" t="str">
        <f t="shared" si="27"/>
        <v/>
      </c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2.75" customHeight="1" x14ac:dyDescent="0.2">
      <c r="A727" s="9">
        <v>19425</v>
      </c>
      <c r="B727" s="9" t="s">
        <v>120</v>
      </c>
      <c r="C727" s="9" t="s">
        <v>297</v>
      </c>
      <c r="D727" s="23"/>
      <c r="E727" s="42"/>
      <c r="F727" s="43"/>
      <c r="G727" s="42"/>
      <c r="H727" s="43"/>
      <c r="I727" s="25" t="s">
        <v>15</v>
      </c>
      <c r="J727" s="34" t="str">
        <f>IF(E727="","",raw_data!C719)</f>
        <v/>
      </c>
      <c r="K727" s="46"/>
      <c r="L727" s="87"/>
      <c r="M727" s="19" t="str">
        <f>IF(E727="","",raw_data!F719)</f>
        <v/>
      </c>
      <c r="N727" s="20" t="str">
        <f t="shared" si="28"/>
        <v/>
      </c>
      <c r="O727" s="90"/>
      <c r="P727" s="91"/>
      <c r="Q727" s="91"/>
      <c r="R727" s="91"/>
      <c r="S727" s="41" t="str">
        <f t="shared" si="27"/>
        <v/>
      </c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2.75" customHeight="1" x14ac:dyDescent="0.2">
      <c r="A728" s="9">
        <v>19426</v>
      </c>
      <c r="B728" s="9" t="s">
        <v>120</v>
      </c>
      <c r="C728" s="9" t="s">
        <v>298</v>
      </c>
      <c r="D728" s="23"/>
      <c r="E728" s="42"/>
      <c r="F728" s="43"/>
      <c r="G728" s="42"/>
      <c r="H728" s="43"/>
      <c r="I728" s="25" t="s">
        <v>15</v>
      </c>
      <c r="J728" s="34" t="str">
        <f>IF(E728="","",raw_data!C720)</f>
        <v/>
      </c>
      <c r="K728" s="46"/>
      <c r="L728" s="87"/>
      <c r="M728" s="19" t="str">
        <f>IF(E728="","",raw_data!F720)</f>
        <v/>
      </c>
      <c r="N728" s="20" t="str">
        <f t="shared" si="28"/>
        <v/>
      </c>
      <c r="O728" s="90"/>
      <c r="P728" s="91"/>
      <c r="Q728" s="91"/>
      <c r="R728" s="91"/>
      <c r="S728" s="41" t="str">
        <f t="shared" si="27"/>
        <v/>
      </c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2.75" customHeight="1" x14ac:dyDescent="0.2">
      <c r="A729" s="9">
        <v>19427</v>
      </c>
      <c r="B729" s="9" t="s">
        <v>120</v>
      </c>
      <c r="C729" s="9" t="s">
        <v>118</v>
      </c>
      <c r="D729" s="23"/>
      <c r="E729" s="42"/>
      <c r="F729" s="43"/>
      <c r="G729" s="42"/>
      <c r="H729" s="43"/>
      <c r="I729" s="25" t="s">
        <v>15</v>
      </c>
      <c r="J729" s="34" t="str">
        <f>IF(E729="","",raw_data!C721)</f>
        <v/>
      </c>
      <c r="K729" s="46"/>
      <c r="L729" s="87"/>
      <c r="M729" s="19" t="str">
        <f>IF(E729="","",raw_data!F721)</f>
        <v/>
      </c>
      <c r="N729" s="20" t="str">
        <f t="shared" si="28"/>
        <v/>
      </c>
      <c r="O729" s="90"/>
      <c r="P729" s="91"/>
      <c r="Q729" s="91"/>
      <c r="R729" s="91"/>
      <c r="S729" s="41" t="str">
        <f t="shared" si="27"/>
        <v/>
      </c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2.75" customHeight="1" x14ac:dyDescent="0.2">
      <c r="A730" s="9">
        <v>19428</v>
      </c>
      <c r="B730" s="9" t="s">
        <v>120</v>
      </c>
      <c r="C730" s="9" t="s">
        <v>299</v>
      </c>
      <c r="D730" s="23"/>
      <c r="E730" s="42"/>
      <c r="F730" s="43"/>
      <c r="G730" s="42"/>
      <c r="H730" s="43"/>
      <c r="I730" s="25" t="s">
        <v>15</v>
      </c>
      <c r="J730" s="34" t="str">
        <f>IF(E730="","",raw_data!C722)</f>
        <v/>
      </c>
      <c r="K730" s="46"/>
      <c r="L730" s="87"/>
      <c r="M730" s="19" t="str">
        <f>IF(E730="","",raw_data!F722)</f>
        <v/>
      </c>
      <c r="N730" s="20" t="str">
        <f t="shared" si="28"/>
        <v/>
      </c>
      <c r="O730" s="90"/>
      <c r="P730" s="91"/>
      <c r="Q730" s="91"/>
      <c r="R730" s="91"/>
      <c r="S730" s="41" t="str">
        <f t="shared" si="27"/>
        <v/>
      </c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2.75" customHeight="1" x14ac:dyDescent="0.2">
      <c r="A731" s="9">
        <v>19429</v>
      </c>
      <c r="B731" s="9" t="s">
        <v>120</v>
      </c>
      <c r="C731" s="9" t="s">
        <v>193</v>
      </c>
      <c r="D731" s="23"/>
      <c r="E731" s="42"/>
      <c r="F731" s="43"/>
      <c r="G731" s="42"/>
      <c r="H731" s="43"/>
      <c r="I731" s="25" t="s">
        <v>15</v>
      </c>
      <c r="J731" s="34" t="str">
        <f>IF(E731="","",raw_data!C723)</f>
        <v/>
      </c>
      <c r="K731" s="46"/>
      <c r="L731" s="87"/>
      <c r="M731" s="19" t="str">
        <f>IF(E731="","",raw_data!F723)</f>
        <v/>
      </c>
      <c r="N731" s="20" t="str">
        <f t="shared" si="28"/>
        <v/>
      </c>
      <c r="O731" s="90"/>
      <c r="P731" s="91"/>
      <c r="Q731" s="91"/>
      <c r="R731" s="91"/>
      <c r="S731" s="41" t="str">
        <f t="shared" si="27"/>
        <v/>
      </c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2.75" customHeight="1" x14ac:dyDescent="0.2">
      <c r="A732" s="9">
        <v>19430</v>
      </c>
      <c r="B732" s="9" t="s">
        <v>120</v>
      </c>
      <c r="C732" s="9" t="s">
        <v>56</v>
      </c>
      <c r="D732" s="23"/>
      <c r="E732" s="42"/>
      <c r="F732" s="43"/>
      <c r="G732" s="42"/>
      <c r="H732" s="43"/>
      <c r="I732" s="25" t="s">
        <v>15</v>
      </c>
      <c r="J732" s="34" t="str">
        <f>IF(E732="","",raw_data!C724)</f>
        <v/>
      </c>
      <c r="K732" s="46"/>
      <c r="L732" s="87"/>
      <c r="M732" s="19" t="str">
        <f>IF(E732="","",raw_data!F724)</f>
        <v/>
      </c>
      <c r="N732" s="20" t="str">
        <f t="shared" si="28"/>
        <v/>
      </c>
      <c r="O732" s="90"/>
      <c r="P732" s="91"/>
      <c r="Q732" s="91"/>
      <c r="R732" s="91"/>
      <c r="S732" s="41" t="str">
        <f t="shared" si="27"/>
        <v/>
      </c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2.75" customHeight="1" x14ac:dyDescent="0.2">
      <c r="A733" s="9">
        <v>19431</v>
      </c>
      <c r="B733" s="9" t="s">
        <v>123</v>
      </c>
      <c r="C733" s="9" t="s">
        <v>77</v>
      </c>
      <c r="D733" s="23"/>
      <c r="E733" s="42"/>
      <c r="F733" s="43"/>
      <c r="G733" s="42"/>
      <c r="H733" s="43"/>
      <c r="I733" s="25" t="s">
        <v>15</v>
      </c>
      <c r="J733" s="34" t="str">
        <f>IF(E733="","",raw_data!C725)</f>
        <v/>
      </c>
      <c r="K733" s="46"/>
      <c r="L733" s="87"/>
      <c r="M733" s="19" t="str">
        <f>IF(E733="","",raw_data!F725)</f>
        <v/>
      </c>
      <c r="N733" s="20" t="str">
        <f t="shared" si="28"/>
        <v/>
      </c>
      <c r="O733" s="90"/>
      <c r="P733" s="91"/>
      <c r="Q733" s="91"/>
      <c r="R733" s="91"/>
      <c r="S733" s="41" t="str">
        <f t="shared" si="27"/>
        <v/>
      </c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2.75" customHeight="1" x14ac:dyDescent="0.2">
      <c r="A734" s="9">
        <v>19432</v>
      </c>
      <c r="B734" s="9" t="s">
        <v>123</v>
      </c>
      <c r="C734" s="9" t="s">
        <v>14</v>
      </c>
      <c r="D734" s="23"/>
      <c r="E734" s="42"/>
      <c r="F734" s="43"/>
      <c r="G734" s="42"/>
      <c r="H734" s="43"/>
      <c r="I734" s="25" t="s">
        <v>15</v>
      </c>
      <c r="J734" s="34" t="str">
        <f>IF(E734="","",raw_data!C726)</f>
        <v/>
      </c>
      <c r="K734" s="46"/>
      <c r="L734" s="87"/>
      <c r="M734" s="19" t="str">
        <f>IF(E734="","",raw_data!F726)</f>
        <v/>
      </c>
      <c r="N734" s="20" t="str">
        <f t="shared" si="28"/>
        <v/>
      </c>
      <c r="O734" s="90"/>
      <c r="P734" s="91"/>
      <c r="Q734" s="91"/>
      <c r="R734" s="91"/>
      <c r="S734" s="41" t="str">
        <f t="shared" si="27"/>
        <v/>
      </c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2.75" customHeight="1" x14ac:dyDescent="0.2">
      <c r="A735" s="9">
        <v>19433</v>
      </c>
      <c r="B735" s="9" t="s">
        <v>123</v>
      </c>
      <c r="C735" s="9" t="s">
        <v>19</v>
      </c>
      <c r="D735" s="23"/>
      <c r="E735" s="42"/>
      <c r="F735" s="43"/>
      <c r="G735" s="42"/>
      <c r="H735" s="43"/>
      <c r="I735" s="25" t="s">
        <v>15</v>
      </c>
      <c r="J735" s="34" t="str">
        <f>IF(E735="","",raw_data!C727)</f>
        <v/>
      </c>
      <c r="K735" s="46"/>
      <c r="L735" s="87"/>
      <c r="M735" s="19" t="str">
        <f>IF(E735="","",raw_data!F727)</f>
        <v/>
      </c>
      <c r="N735" s="20" t="str">
        <f t="shared" si="28"/>
        <v/>
      </c>
      <c r="O735" s="90"/>
      <c r="P735" s="91"/>
      <c r="Q735" s="91"/>
      <c r="R735" s="91"/>
      <c r="S735" s="41" t="str">
        <f t="shared" si="27"/>
        <v/>
      </c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2.75" customHeight="1" x14ac:dyDescent="0.2">
      <c r="A736" s="9">
        <v>19434</v>
      </c>
      <c r="B736" s="9" t="s">
        <v>123</v>
      </c>
      <c r="C736" s="9" t="s">
        <v>240</v>
      </c>
      <c r="D736" s="23"/>
      <c r="E736" s="42"/>
      <c r="F736" s="43"/>
      <c r="G736" s="42"/>
      <c r="H736" s="43"/>
      <c r="I736" s="25" t="s">
        <v>15</v>
      </c>
      <c r="J736" s="34" t="str">
        <f>IF(E736="","",raw_data!C728)</f>
        <v/>
      </c>
      <c r="K736" s="46"/>
      <c r="L736" s="87"/>
      <c r="M736" s="19" t="str">
        <f>IF(E736="","",raw_data!F728)</f>
        <v/>
      </c>
      <c r="N736" s="20" t="str">
        <f t="shared" si="28"/>
        <v/>
      </c>
      <c r="O736" s="90"/>
      <c r="P736" s="91"/>
      <c r="Q736" s="91"/>
      <c r="R736" s="91"/>
      <c r="S736" s="41" t="str">
        <f t="shared" si="27"/>
        <v/>
      </c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2.75" customHeight="1" x14ac:dyDescent="0.2">
      <c r="A737" s="9">
        <v>19435</v>
      </c>
      <c r="B737" s="9" t="s">
        <v>123</v>
      </c>
      <c r="C737" s="9" t="s">
        <v>160</v>
      </c>
      <c r="D737" s="23"/>
      <c r="E737" s="42"/>
      <c r="F737" s="43"/>
      <c r="G737" s="42"/>
      <c r="H737" s="43"/>
      <c r="I737" s="25" t="s">
        <v>15</v>
      </c>
      <c r="J737" s="34" t="str">
        <f>IF(E737="","",raw_data!C729)</f>
        <v/>
      </c>
      <c r="K737" s="46"/>
      <c r="L737" s="87"/>
      <c r="M737" s="19" t="str">
        <f>IF(E737="","",raw_data!F729)</f>
        <v/>
      </c>
      <c r="N737" s="20" t="str">
        <f t="shared" si="28"/>
        <v/>
      </c>
      <c r="O737" s="90"/>
      <c r="P737" s="91"/>
      <c r="Q737" s="91"/>
      <c r="R737" s="91"/>
      <c r="S737" s="41" t="str">
        <f t="shared" si="27"/>
        <v/>
      </c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2.75" customHeight="1" x14ac:dyDescent="0.2">
      <c r="A738" s="9">
        <v>19436</v>
      </c>
      <c r="B738" s="9" t="s">
        <v>123</v>
      </c>
      <c r="C738" s="9" t="s">
        <v>161</v>
      </c>
      <c r="D738" s="23"/>
      <c r="E738" s="42"/>
      <c r="F738" s="43"/>
      <c r="G738" s="42"/>
      <c r="H738" s="43"/>
      <c r="I738" s="25" t="s">
        <v>15</v>
      </c>
      <c r="J738" s="34" t="str">
        <f>IF(E738="","",raw_data!C730)</f>
        <v/>
      </c>
      <c r="K738" s="46"/>
      <c r="L738" s="87"/>
      <c r="M738" s="19" t="str">
        <f>IF(E738="","",raw_data!F730)</f>
        <v/>
      </c>
      <c r="N738" s="20" t="str">
        <f t="shared" si="28"/>
        <v/>
      </c>
      <c r="O738" s="90"/>
      <c r="P738" s="91"/>
      <c r="Q738" s="91"/>
      <c r="R738" s="91"/>
      <c r="S738" s="41" t="str">
        <f t="shared" si="27"/>
        <v/>
      </c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2.75" customHeight="1" x14ac:dyDescent="0.2">
      <c r="A739" s="9">
        <v>19437</v>
      </c>
      <c r="B739" s="9" t="s">
        <v>123</v>
      </c>
      <c r="C739" s="9" t="s">
        <v>346</v>
      </c>
      <c r="D739" s="23"/>
      <c r="E739" s="42"/>
      <c r="F739" s="43"/>
      <c r="G739" s="42"/>
      <c r="H739" s="43"/>
      <c r="I739" s="25" t="s">
        <v>15</v>
      </c>
      <c r="J739" s="34" t="str">
        <f>IF(E739="","",raw_data!C731)</f>
        <v/>
      </c>
      <c r="K739" s="46"/>
      <c r="L739" s="87"/>
      <c r="M739" s="19" t="str">
        <f>IF(E739="","",raw_data!F731)</f>
        <v/>
      </c>
      <c r="N739" s="20" t="str">
        <f t="shared" si="28"/>
        <v/>
      </c>
      <c r="O739" s="90"/>
      <c r="P739" s="91"/>
      <c r="Q739" s="91"/>
      <c r="R739" s="91"/>
      <c r="S739" s="41" t="str">
        <f t="shared" si="27"/>
        <v/>
      </c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2.75" customHeight="1" x14ac:dyDescent="0.2">
      <c r="A740" s="9">
        <v>19438</v>
      </c>
      <c r="B740" s="9" t="s">
        <v>123</v>
      </c>
      <c r="C740" s="9" t="s">
        <v>347</v>
      </c>
      <c r="D740" s="23"/>
      <c r="E740" s="42"/>
      <c r="F740" s="43"/>
      <c r="G740" s="42"/>
      <c r="H740" s="43"/>
      <c r="I740" s="25" t="s">
        <v>15</v>
      </c>
      <c r="J740" s="34" t="str">
        <f>IF(E740="","",raw_data!C732)</f>
        <v/>
      </c>
      <c r="K740" s="46"/>
      <c r="L740" s="87"/>
      <c r="M740" s="19" t="str">
        <f>IF(E740="","",raw_data!F732)</f>
        <v/>
      </c>
      <c r="N740" s="20" t="str">
        <f t="shared" si="28"/>
        <v/>
      </c>
      <c r="O740" s="90"/>
      <c r="P740" s="91"/>
      <c r="Q740" s="91"/>
      <c r="R740" s="91"/>
      <c r="S740" s="41" t="str">
        <f t="shared" si="27"/>
        <v/>
      </c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" customHeight="1" x14ac:dyDescent="0.2">
      <c r="A741" s="9">
        <v>19439</v>
      </c>
      <c r="B741" s="9" t="s">
        <v>123</v>
      </c>
      <c r="C741" s="9" t="s">
        <v>348</v>
      </c>
      <c r="D741" s="23"/>
      <c r="E741" s="42"/>
      <c r="F741" s="43"/>
      <c r="G741" s="42"/>
      <c r="H741" s="43"/>
      <c r="I741" s="25" t="s">
        <v>15</v>
      </c>
      <c r="J741" s="34" t="str">
        <f>IF(E741="","",raw_data!C733)</f>
        <v/>
      </c>
      <c r="K741" s="46"/>
      <c r="L741" s="87"/>
      <c r="M741" s="19" t="str">
        <f>IF(E741="","",raw_data!F733)</f>
        <v/>
      </c>
      <c r="N741" s="20" t="str">
        <f t="shared" si="28"/>
        <v/>
      </c>
      <c r="O741" s="90"/>
      <c r="P741" s="91"/>
      <c r="Q741" s="91"/>
      <c r="R741" s="91"/>
      <c r="S741" s="41" t="str">
        <f t="shared" si="27"/>
        <v/>
      </c>
    </row>
    <row r="742" spans="1:31" ht="15" customHeight="1" x14ac:dyDescent="0.2">
      <c r="A742" s="9">
        <v>19440</v>
      </c>
      <c r="B742" s="9" t="s">
        <v>123</v>
      </c>
      <c r="C742" s="9" t="s">
        <v>349</v>
      </c>
      <c r="D742" s="23"/>
      <c r="E742" s="42"/>
      <c r="F742" s="43"/>
      <c r="G742" s="42"/>
      <c r="H742" s="43"/>
      <c r="I742" s="25" t="s">
        <v>15</v>
      </c>
      <c r="J742" s="34" t="str">
        <f>IF(E742="","",raw_data!C734)</f>
        <v/>
      </c>
      <c r="K742" s="46"/>
      <c r="L742" s="87"/>
      <c r="M742" s="19" t="str">
        <f>IF(E742="","",raw_data!F734)</f>
        <v/>
      </c>
      <c r="N742" s="20" t="str">
        <f t="shared" si="28"/>
        <v/>
      </c>
      <c r="O742" s="90"/>
      <c r="P742" s="91"/>
      <c r="Q742" s="91"/>
      <c r="R742" s="91"/>
      <c r="S742" s="41" t="str">
        <f t="shared" si="27"/>
        <v/>
      </c>
    </row>
    <row r="743" spans="1:31" ht="15" customHeight="1" x14ac:dyDescent="0.2">
      <c r="A743" s="9">
        <v>19441</v>
      </c>
      <c r="B743" s="9" t="s">
        <v>123</v>
      </c>
      <c r="C743" s="9" t="s">
        <v>350</v>
      </c>
      <c r="D743" s="23"/>
      <c r="E743" s="42"/>
      <c r="F743" s="43"/>
      <c r="G743" s="42"/>
      <c r="H743" s="43"/>
      <c r="I743" s="25" t="s">
        <v>15</v>
      </c>
      <c r="J743" s="34" t="str">
        <f>IF(E743="","",raw_data!C735)</f>
        <v/>
      </c>
      <c r="K743" s="46"/>
      <c r="L743" s="87"/>
      <c r="M743" s="19" t="str">
        <f>IF(E743="","",raw_data!F735)</f>
        <v/>
      </c>
      <c r="N743" s="20" t="str">
        <f t="shared" si="28"/>
        <v/>
      </c>
      <c r="O743" s="90"/>
      <c r="P743" s="91"/>
      <c r="Q743" s="91"/>
      <c r="R743" s="91"/>
      <c r="S743" s="41" t="str">
        <f t="shared" si="27"/>
        <v/>
      </c>
    </row>
    <row r="744" spans="1:31" ht="15" customHeight="1" x14ac:dyDescent="0.2">
      <c r="A744" s="9">
        <v>19442</v>
      </c>
      <c r="B744" s="9" t="s">
        <v>123</v>
      </c>
      <c r="C744" s="9" t="s">
        <v>351</v>
      </c>
      <c r="D744" s="23"/>
      <c r="E744" s="42"/>
      <c r="F744" s="43"/>
      <c r="G744" s="42"/>
      <c r="H744" s="43"/>
      <c r="I744" s="25" t="s">
        <v>15</v>
      </c>
      <c r="J744" s="34" t="str">
        <f>IF(E744="","",raw_data!C736)</f>
        <v/>
      </c>
      <c r="K744" s="46"/>
      <c r="L744" s="87"/>
      <c r="M744" s="19" t="str">
        <f>IF(E744="","",raw_data!F736)</f>
        <v/>
      </c>
      <c r="N744" s="20" t="str">
        <f t="shared" si="28"/>
        <v/>
      </c>
      <c r="O744" s="90"/>
      <c r="P744" s="91"/>
      <c r="Q744" s="91"/>
      <c r="R744" s="91"/>
      <c r="S744" s="41" t="str">
        <f t="shared" si="27"/>
        <v/>
      </c>
    </row>
    <row r="745" spans="1:31" ht="15" customHeight="1" x14ac:dyDescent="0.2">
      <c r="A745" s="9">
        <v>19443</v>
      </c>
      <c r="B745" s="9" t="s">
        <v>123</v>
      </c>
      <c r="C745" s="9" t="s">
        <v>352</v>
      </c>
      <c r="D745" s="23"/>
      <c r="E745" s="42"/>
      <c r="F745" s="43"/>
      <c r="G745" s="42"/>
      <c r="H745" s="43"/>
      <c r="I745" s="25" t="s">
        <v>15</v>
      </c>
      <c r="J745" s="34" t="str">
        <f>IF(E745="","",raw_data!C737)</f>
        <v/>
      </c>
      <c r="K745" s="46"/>
      <c r="L745" s="87"/>
      <c r="M745" s="19" t="str">
        <f>IF(E745="","",raw_data!F737)</f>
        <v/>
      </c>
      <c r="N745" s="20" t="str">
        <f t="shared" si="28"/>
        <v/>
      </c>
      <c r="O745" s="90"/>
      <c r="P745" s="91"/>
      <c r="Q745" s="91"/>
      <c r="R745" s="91"/>
      <c r="S745" s="41" t="str">
        <f t="shared" si="27"/>
        <v/>
      </c>
    </row>
    <row r="746" spans="1:31" ht="15" customHeight="1" x14ac:dyDescent="0.2">
      <c r="A746" s="9">
        <v>19444</v>
      </c>
      <c r="B746" s="9" t="s">
        <v>123</v>
      </c>
      <c r="C746" s="9" t="s">
        <v>353</v>
      </c>
      <c r="D746" s="23"/>
      <c r="E746" s="42"/>
      <c r="F746" s="43"/>
      <c r="G746" s="42"/>
      <c r="H746" s="43"/>
      <c r="I746" s="25" t="s">
        <v>15</v>
      </c>
      <c r="J746" s="34" t="str">
        <f>IF(E746="","",raw_data!C738)</f>
        <v/>
      </c>
      <c r="K746" s="46"/>
      <c r="L746" s="87"/>
      <c r="M746" s="19" t="str">
        <f>IF(E746="","",raw_data!F738)</f>
        <v/>
      </c>
      <c r="N746" s="20" t="str">
        <f t="shared" si="28"/>
        <v/>
      </c>
      <c r="O746" s="90"/>
      <c r="P746" s="91"/>
      <c r="Q746" s="91"/>
      <c r="R746" s="91"/>
      <c r="S746" s="41" t="str">
        <f t="shared" si="27"/>
        <v/>
      </c>
    </row>
    <row r="747" spans="1:31" ht="15" customHeight="1" x14ac:dyDescent="0.2">
      <c r="A747" s="9">
        <v>19445</v>
      </c>
      <c r="B747" s="9" t="s">
        <v>123</v>
      </c>
      <c r="C747" s="9" t="s">
        <v>354</v>
      </c>
      <c r="D747" s="23"/>
      <c r="E747" s="42"/>
      <c r="F747" s="43"/>
      <c r="G747" s="42"/>
      <c r="H747" s="43"/>
      <c r="I747" s="25" t="s">
        <v>15</v>
      </c>
      <c r="J747" s="34" t="str">
        <f>IF(E747="","",raw_data!C739)</f>
        <v/>
      </c>
      <c r="K747" s="46"/>
      <c r="L747" s="87"/>
      <c r="M747" s="19" t="str">
        <f>IF(E747="","",raw_data!F739)</f>
        <v/>
      </c>
      <c r="N747" s="20" t="str">
        <f t="shared" si="28"/>
        <v/>
      </c>
      <c r="O747" s="90"/>
      <c r="P747" s="91"/>
      <c r="Q747" s="91"/>
      <c r="R747" s="91"/>
      <c r="S747" s="41" t="str">
        <f t="shared" si="27"/>
        <v/>
      </c>
    </row>
    <row r="748" spans="1:31" ht="15" customHeight="1" x14ac:dyDescent="0.2">
      <c r="A748" s="9">
        <v>19446</v>
      </c>
      <c r="B748" s="9" t="s">
        <v>123</v>
      </c>
      <c r="C748" s="9" t="s">
        <v>243</v>
      </c>
      <c r="D748" s="23"/>
      <c r="E748" s="42"/>
      <c r="F748" s="43"/>
      <c r="G748" s="42"/>
      <c r="H748" s="43"/>
      <c r="I748" s="25" t="s">
        <v>15</v>
      </c>
      <c r="J748" s="34" t="str">
        <f>IF(E748="","",raw_data!C740)</f>
        <v/>
      </c>
      <c r="K748" s="46"/>
      <c r="L748" s="87"/>
      <c r="M748" s="19" t="str">
        <f>IF(E748="","",raw_data!F740)</f>
        <v/>
      </c>
      <c r="N748" s="20" t="str">
        <f t="shared" si="28"/>
        <v/>
      </c>
      <c r="O748" s="90"/>
      <c r="P748" s="91"/>
      <c r="Q748" s="91"/>
      <c r="R748" s="91"/>
      <c r="S748" s="41" t="str">
        <f t="shared" si="27"/>
        <v/>
      </c>
    </row>
    <row r="749" spans="1:31" ht="15" customHeight="1" x14ac:dyDescent="0.2">
      <c r="A749" s="9">
        <v>19447</v>
      </c>
      <c r="B749" s="9" t="s">
        <v>123</v>
      </c>
      <c r="C749" s="9" t="s">
        <v>244</v>
      </c>
      <c r="D749" s="23"/>
      <c r="E749" s="42"/>
      <c r="F749" s="43"/>
      <c r="G749" s="42"/>
      <c r="H749" s="43"/>
      <c r="I749" s="25" t="s">
        <v>15</v>
      </c>
      <c r="J749" s="34" t="str">
        <f>IF(E749="","",raw_data!C741)</f>
        <v/>
      </c>
      <c r="K749" s="46"/>
      <c r="L749" s="87"/>
      <c r="M749" s="19" t="str">
        <f>IF(E749="","",raw_data!F741)</f>
        <v/>
      </c>
      <c r="N749" s="20" t="str">
        <f t="shared" si="28"/>
        <v/>
      </c>
      <c r="O749" s="90"/>
      <c r="P749" s="91"/>
      <c r="Q749" s="91"/>
      <c r="R749" s="91"/>
      <c r="S749" s="41" t="str">
        <f t="shared" si="27"/>
        <v/>
      </c>
    </row>
    <row r="750" spans="1:31" ht="15" customHeight="1" x14ac:dyDescent="0.2">
      <c r="A750" s="9">
        <v>19448</v>
      </c>
      <c r="B750" s="9" t="s">
        <v>123</v>
      </c>
      <c r="C750" s="9" t="s">
        <v>245</v>
      </c>
      <c r="D750" s="23"/>
      <c r="E750" s="42"/>
      <c r="F750" s="43"/>
      <c r="G750" s="42"/>
      <c r="H750" s="43"/>
      <c r="I750" s="25" t="s">
        <v>15</v>
      </c>
      <c r="J750" s="34" t="str">
        <f>IF(E750="","",raw_data!C742)</f>
        <v/>
      </c>
      <c r="K750" s="46"/>
      <c r="L750" s="87"/>
      <c r="M750" s="19" t="str">
        <f>IF(E750="","",raw_data!F742)</f>
        <v/>
      </c>
      <c r="N750" s="20" t="str">
        <f t="shared" si="28"/>
        <v/>
      </c>
      <c r="O750" s="90"/>
      <c r="P750" s="91"/>
      <c r="Q750" s="91"/>
      <c r="R750" s="91"/>
      <c r="S750" s="41" t="str">
        <f t="shared" si="27"/>
        <v/>
      </c>
    </row>
    <row r="751" spans="1:31" ht="15" customHeight="1" x14ac:dyDescent="0.2">
      <c r="A751" s="9">
        <v>19449</v>
      </c>
      <c r="B751" s="9" t="s">
        <v>123</v>
      </c>
      <c r="C751" s="9" t="s">
        <v>78</v>
      </c>
      <c r="D751" s="23"/>
      <c r="E751" s="42"/>
      <c r="F751" s="43"/>
      <c r="G751" s="42"/>
      <c r="H751" s="43"/>
      <c r="I751" s="25" t="s">
        <v>15</v>
      </c>
      <c r="J751" s="34" t="str">
        <f>IF(E751="","",raw_data!C743)</f>
        <v/>
      </c>
      <c r="K751" s="46"/>
      <c r="L751" s="87"/>
      <c r="M751" s="19" t="str">
        <f>IF(E751="","",raw_data!F743)</f>
        <v/>
      </c>
      <c r="N751" s="20" t="str">
        <f t="shared" si="28"/>
        <v/>
      </c>
      <c r="O751" s="90"/>
      <c r="P751" s="91"/>
      <c r="Q751" s="91"/>
      <c r="R751" s="91"/>
      <c r="S751" s="41" t="str">
        <f t="shared" si="27"/>
        <v/>
      </c>
    </row>
    <row r="752" spans="1:31" ht="15" customHeight="1" x14ac:dyDescent="0.2">
      <c r="A752" s="9">
        <v>19450</v>
      </c>
      <c r="B752" s="9" t="s">
        <v>123</v>
      </c>
      <c r="C752" s="9" t="s">
        <v>162</v>
      </c>
      <c r="D752" s="23"/>
      <c r="E752" s="42"/>
      <c r="F752" s="43"/>
      <c r="G752" s="42"/>
      <c r="H752" s="43"/>
      <c r="I752" s="25" t="s">
        <v>15</v>
      </c>
      <c r="J752" s="34" t="str">
        <f>IF(E752="","",raw_data!C744)</f>
        <v/>
      </c>
      <c r="K752" s="46"/>
      <c r="L752" s="87"/>
      <c r="M752" s="19" t="str">
        <f>IF(E752="","",raw_data!F744)</f>
        <v/>
      </c>
      <c r="N752" s="20" t="str">
        <f t="shared" si="28"/>
        <v/>
      </c>
      <c r="O752" s="90"/>
      <c r="P752" s="91"/>
      <c r="Q752" s="91"/>
      <c r="R752" s="91"/>
      <c r="S752" s="41" t="str">
        <f t="shared" si="27"/>
        <v/>
      </c>
    </row>
    <row r="753" spans="1:19" ht="15" customHeight="1" x14ac:dyDescent="0.2">
      <c r="A753" s="9">
        <v>19451</v>
      </c>
      <c r="B753" s="9" t="s">
        <v>123</v>
      </c>
      <c r="C753" s="9" t="s">
        <v>289</v>
      </c>
      <c r="D753" s="23"/>
      <c r="E753" s="42"/>
      <c r="F753" s="43"/>
      <c r="G753" s="42"/>
      <c r="H753" s="43"/>
      <c r="I753" s="25" t="s">
        <v>15</v>
      </c>
      <c r="J753" s="34" t="str">
        <f>IF(E753="","",raw_data!C745)</f>
        <v/>
      </c>
      <c r="K753" s="46"/>
      <c r="L753" s="87"/>
      <c r="M753" s="19" t="str">
        <f>IF(E753="","",raw_data!F745)</f>
        <v/>
      </c>
      <c r="N753" s="20" t="str">
        <f t="shared" si="28"/>
        <v/>
      </c>
      <c r="O753" s="90"/>
      <c r="P753" s="91"/>
      <c r="Q753" s="91"/>
      <c r="R753" s="91"/>
      <c r="S753" s="41" t="str">
        <f t="shared" si="27"/>
        <v/>
      </c>
    </row>
    <row r="754" spans="1:19" ht="15" customHeight="1" x14ac:dyDescent="0.2">
      <c r="A754" s="9">
        <v>19452</v>
      </c>
      <c r="B754" s="9" t="s">
        <v>123</v>
      </c>
      <c r="C754" s="9" t="s">
        <v>113</v>
      </c>
      <c r="D754" s="23"/>
      <c r="E754" s="42"/>
      <c r="F754" s="43"/>
      <c r="G754" s="42"/>
      <c r="H754" s="43"/>
      <c r="I754" s="25" t="s">
        <v>15</v>
      </c>
      <c r="J754" s="34" t="str">
        <f>IF(E754="","",raw_data!C746)</f>
        <v/>
      </c>
      <c r="K754" s="46"/>
      <c r="L754" s="87"/>
      <c r="M754" s="19" t="str">
        <f>IF(E754="","",raw_data!F746)</f>
        <v/>
      </c>
      <c r="N754" s="20" t="str">
        <f t="shared" si="28"/>
        <v/>
      </c>
      <c r="O754" s="90"/>
      <c r="P754" s="91"/>
      <c r="Q754" s="91"/>
      <c r="R754" s="91"/>
      <c r="S754" s="41" t="str">
        <f t="shared" si="27"/>
        <v/>
      </c>
    </row>
    <row r="755" spans="1:19" ht="15" customHeight="1" x14ac:dyDescent="0.2">
      <c r="A755" s="9">
        <v>19453</v>
      </c>
      <c r="B755" s="9" t="s">
        <v>123</v>
      </c>
      <c r="C755" s="9" t="s">
        <v>290</v>
      </c>
      <c r="D755" s="23"/>
      <c r="E755" s="42"/>
      <c r="F755" s="43"/>
      <c r="G755" s="42"/>
      <c r="H755" s="43"/>
      <c r="I755" s="25" t="s">
        <v>15</v>
      </c>
      <c r="J755" s="34" t="str">
        <f>IF(E755="","",raw_data!C747)</f>
        <v/>
      </c>
      <c r="K755" s="46"/>
      <c r="L755" s="87"/>
      <c r="M755" s="19" t="str">
        <f>IF(E755="","",raw_data!F747)</f>
        <v/>
      </c>
      <c r="N755" s="20" t="str">
        <f t="shared" si="28"/>
        <v/>
      </c>
      <c r="O755" s="90"/>
      <c r="P755" s="91"/>
      <c r="Q755" s="91"/>
      <c r="R755" s="91"/>
      <c r="S755" s="41" t="str">
        <f t="shared" si="27"/>
        <v/>
      </c>
    </row>
    <row r="756" spans="1:19" ht="15" customHeight="1" x14ac:dyDescent="0.2">
      <c r="A756" s="9">
        <v>19454</v>
      </c>
      <c r="B756" s="9" t="s">
        <v>123</v>
      </c>
      <c r="C756" s="9" t="s">
        <v>355</v>
      </c>
      <c r="D756" s="23"/>
      <c r="E756" s="42"/>
      <c r="F756" s="43"/>
      <c r="G756" s="42"/>
      <c r="H756" s="43"/>
      <c r="I756" s="25" t="s">
        <v>15</v>
      </c>
      <c r="J756" s="34" t="str">
        <f>IF(E756="","",raw_data!C748)</f>
        <v/>
      </c>
      <c r="K756" s="46"/>
      <c r="L756" s="87"/>
      <c r="M756" s="19" t="str">
        <f>IF(E756="","",raw_data!F748)</f>
        <v/>
      </c>
      <c r="N756" s="20" t="str">
        <f t="shared" si="28"/>
        <v/>
      </c>
      <c r="O756" s="90"/>
      <c r="P756" s="91"/>
      <c r="Q756" s="91"/>
      <c r="R756" s="91"/>
      <c r="S756" s="41" t="str">
        <f t="shared" si="27"/>
        <v/>
      </c>
    </row>
    <row r="757" spans="1:19" ht="15" customHeight="1" x14ac:dyDescent="0.2">
      <c r="A757" s="9">
        <v>19455</v>
      </c>
      <c r="B757" s="9" t="s">
        <v>123</v>
      </c>
      <c r="C757" s="9" t="s">
        <v>356</v>
      </c>
      <c r="D757" s="23"/>
      <c r="E757" s="42"/>
      <c r="F757" s="43"/>
      <c r="G757" s="42"/>
      <c r="H757" s="43"/>
      <c r="I757" s="25" t="s">
        <v>15</v>
      </c>
      <c r="J757" s="34" t="str">
        <f>IF(E757="","",raw_data!C749)</f>
        <v/>
      </c>
      <c r="K757" s="46"/>
      <c r="L757" s="87"/>
      <c r="M757" s="19" t="str">
        <f>IF(E757="","",raw_data!F749)</f>
        <v/>
      </c>
      <c r="N757" s="20" t="str">
        <f t="shared" si="28"/>
        <v/>
      </c>
      <c r="O757" s="90"/>
      <c r="P757" s="91"/>
      <c r="Q757" s="91"/>
      <c r="R757" s="91"/>
      <c r="S757" s="41" t="str">
        <f t="shared" si="27"/>
        <v/>
      </c>
    </row>
    <row r="758" spans="1:19" ht="15" customHeight="1" x14ac:dyDescent="0.2">
      <c r="A758" s="9">
        <v>19456</v>
      </c>
      <c r="B758" s="9" t="s">
        <v>123</v>
      </c>
      <c r="C758" s="9" t="s">
        <v>357</v>
      </c>
      <c r="D758" s="23"/>
      <c r="E758" s="42"/>
      <c r="F758" s="43"/>
      <c r="G758" s="42"/>
      <c r="H758" s="43"/>
      <c r="I758" s="25" t="s">
        <v>15</v>
      </c>
      <c r="J758" s="34" t="str">
        <f>IF(E758="","",raw_data!C750)</f>
        <v/>
      </c>
      <c r="K758" s="46"/>
      <c r="L758" s="87"/>
      <c r="M758" s="19" t="str">
        <f>IF(E758="","",raw_data!F750)</f>
        <v/>
      </c>
      <c r="N758" s="20" t="str">
        <f t="shared" si="28"/>
        <v/>
      </c>
      <c r="O758" s="90"/>
      <c r="P758" s="91"/>
      <c r="Q758" s="91"/>
      <c r="R758" s="91"/>
      <c r="S758" s="41" t="str">
        <f t="shared" si="27"/>
        <v/>
      </c>
    </row>
    <row r="759" spans="1:19" ht="15" customHeight="1" x14ac:dyDescent="0.2">
      <c r="A759" s="9">
        <v>19457</v>
      </c>
      <c r="B759" s="9" t="s">
        <v>123</v>
      </c>
      <c r="C759" s="9" t="s">
        <v>358</v>
      </c>
      <c r="D759" s="23"/>
      <c r="E759" s="42"/>
      <c r="F759" s="43"/>
      <c r="G759" s="42"/>
      <c r="H759" s="43"/>
      <c r="I759" s="25" t="s">
        <v>15</v>
      </c>
      <c r="J759" s="34" t="str">
        <f>IF(E759="","",raw_data!C751)</f>
        <v/>
      </c>
      <c r="K759" s="46"/>
      <c r="L759" s="87"/>
      <c r="M759" s="19" t="str">
        <f>IF(E759="","",raw_data!F751)</f>
        <v/>
      </c>
      <c r="N759" s="20" t="str">
        <f t="shared" si="28"/>
        <v/>
      </c>
      <c r="O759" s="90"/>
      <c r="P759" s="91"/>
      <c r="Q759" s="91"/>
      <c r="R759" s="91"/>
      <c r="S759" s="41" t="str">
        <f t="shared" si="27"/>
        <v/>
      </c>
    </row>
    <row r="760" spans="1:19" ht="15" customHeight="1" x14ac:dyDescent="0.2">
      <c r="A760" s="9">
        <v>19458</v>
      </c>
      <c r="B760" s="9" t="s">
        <v>123</v>
      </c>
      <c r="C760" s="9" t="s">
        <v>359</v>
      </c>
      <c r="D760" s="23"/>
      <c r="E760" s="42"/>
      <c r="F760" s="43"/>
      <c r="G760" s="42"/>
      <c r="H760" s="43"/>
      <c r="I760" s="25" t="s">
        <v>15</v>
      </c>
      <c r="J760" s="34" t="str">
        <f>IF(E760="","",raw_data!C752)</f>
        <v/>
      </c>
      <c r="K760" s="46"/>
      <c r="L760" s="87"/>
      <c r="M760" s="19" t="str">
        <f>IF(E760="","",raw_data!F752)</f>
        <v/>
      </c>
      <c r="N760" s="20" t="str">
        <f t="shared" si="28"/>
        <v/>
      </c>
      <c r="O760" s="90"/>
      <c r="P760" s="91"/>
      <c r="Q760" s="91"/>
      <c r="R760" s="91"/>
      <c r="S760" s="41" t="str">
        <f t="shared" si="27"/>
        <v/>
      </c>
    </row>
    <row r="761" spans="1:19" ht="15" customHeight="1" x14ac:dyDescent="0.2">
      <c r="A761" s="9">
        <v>19459</v>
      </c>
      <c r="B761" s="9" t="s">
        <v>123</v>
      </c>
      <c r="C761" s="9" t="s">
        <v>360</v>
      </c>
      <c r="D761" s="23"/>
      <c r="E761" s="42"/>
      <c r="F761" s="43"/>
      <c r="G761" s="42"/>
      <c r="H761" s="43"/>
      <c r="I761" s="25" t="s">
        <v>15</v>
      </c>
      <c r="J761" s="34" t="str">
        <f>IF(E761="","",raw_data!C753)</f>
        <v/>
      </c>
      <c r="K761" s="46"/>
      <c r="L761" s="87"/>
      <c r="M761" s="19" t="str">
        <f>IF(E761="","",raw_data!F753)</f>
        <v/>
      </c>
      <c r="N761" s="20" t="str">
        <f t="shared" si="28"/>
        <v/>
      </c>
      <c r="O761" s="90"/>
      <c r="P761" s="91"/>
      <c r="Q761" s="91"/>
      <c r="R761" s="91"/>
      <c r="S761" s="41" t="str">
        <f t="shared" si="27"/>
        <v/>
      </c>
    </row>
    <row r="762" spans="1:19" ht="15" customHeight="1" x14ac:dyDescent="0.2">
      <c r="A762" s="9">
        <v>19460</v>
      </c>
      <c r="B762" s="9" t="s">
        <v>123</v>
      </c>
      <c r="C762" s="9" t="s">
        <v>361</v>
      </c>
      <c r="D762" s="23"/>
      <c r="E762" s="42"/>
      <c r="F762" s="43"/>
      <c r="G762" s="42"/>
      <c r="H762" s="43"/>
      <c r="I762" s="25" t="s">
        <v>15</v>
      </c>
      <c r="J762" s="34" t="str">
        <f>IF(E762="","",raw_data!C754)</f>
        <v/>
      </c>
      <c r="K762" s="46"/>
      <c r="L762" s="87"/>
      <c r="M762" s="19" t="str">
        <f>IF(E762="","",raw_data!F754)</f>
        <v/>
      </c>
      <c r="N762" s="20" t="str">
        <f t="shared" si="28"/>
        <v/>
      </c>
      <c r="O762" s="90"/>
      <c r="P762" s="91"/>
      <c r="Q762" s="91"/>
      <c r="R762" s="91"/>
      <c r="S762" s="41" t="str">
        <f t="shared" si="27"/>
        <v/>
      </c>
    </row>
    <row r="763" spans="1:19" ht="15" customHeight="1" x14ac:dyDescent="0.2">
      <c r="A763" s="9">
        <v>19461</v>
      </c>
      <c r="B763" s="9" t="s">
        <v>123</v>
      </c>
      <c r="C763" s="9" t="s">
        <v>362</v>
      </c>
      <c r="D763" s="23"/>
      <c r="E763" s="42"/>
      <c r="F763" s="43"/>
      <c r="G763" s="42"/>
      <c r="H763" s="43"/>
      <c r="I763" s="25" t="s">
        <v>15</v>
      </c>
      <c r="J763" s="34" t="str">
        <f>IF(E763="","",raw_data!C755)</f>
        <v/>
      </c>
      <c r="K763" s="46"/>
      <c r="L763" s="87"/>
      <c r="M763" s="19" t="str">
        <f>IF(E763="","",raw_data!F755)</f>
        <v/>
      </c>
      <c r="N763" s="20" t="str">
        <f t="shared" si="28"/>
        <v/>
      </c>
      <c r="O763" s="90"/>
      <c r="P763" s="91"/>
      <c r="Q763" s="91"/>
      <c r="R763" s="91"/>
      <c r="S763" s="41" t="str">
        <f t="shared" si="27"/>
        <v/>
      </c>
    </row>
    <row r="764" spans="1:19" ht="15" customHeight="1" x14ac:dyDescent="0.2">
      <c r="A764" s="9">
        <v>19462</v>
      </c>
      <c r="B764" s="9" t="s">
        <v>123</v>
      </c>
      <c r="C764" s="9" t="s">
        <v>363</v>
      </c>
      <c r="D764" s="23"/>
      <c r="E764" s="42"/>
      <c r="F764" s="43"/>
      <c r="G764" s="42"/>
      <c r="H764" s="43"/>
      <c r="I764" s="25" t="s">
        <v>15</v>
      </c>
      <c r="J764" s="34" t="str">
        <f>IF(E764="","",raw_data!C756)</f>
        <v/>
      </c>
      <c r="K764" s="46"/>
      <c r="L764" s="87"/>
      <c r="M764" s="19" t="str">
        <f>IF(E764="","",raw_data!F756)</f>
        <v/>
      </c>
      <c r="N764" s="20" t="str">
        <f t="shared" si="28"/>
        <v/>
      </c>
      <c r="O764" s="90"/>
      <c r="P764" s="91"/>
      <c r="Q764" s="91"/>
      <c r="R764" s="91"/>
      <c r="S764" s="41" t="str">
        <f t="shared" si="27"/>
        <v/>
      </c>
    </row>
    <row r="765" spans="1:19" ht="15" customHeight="1" x14ac:dyDescent="0.2">
      <c r="A765" s="9">
        <v>19463</v>
      </c>
      <c r="B765" s="9" t="s">
        <v>123</v>
      </c>
      <c r="C765" s="9" t="s">
        <v>246</v>
      </c>
      <c r="D765" s="23"/>
      <c r="E765" s="42"/>
      <c r="F765" s="43"/>
      <c r="G765" s="42"/>
      <c r="H765" s="43"/>
      <c r="I765" s="25" t="s">
        <v>15</v>
      </c>
      <c r="J765" s="34" t="str">
        <f>IF(E765="","",raw_data!C757)</f>
        <v/>
      </c>
      <c r="K765" s="46"/>
      <c r="L765" s="87"/>
      <c r="M765" s="19" t="str">
        <f>IF(E765="","",raw_data!F757)</f>
        <v/>
      </c>
      <c r="N765" s="20" t="str">
        <f t="shared" si="28"/>
        <v/>
      </c>
      <c r="O765" s="90"/>
      <c r="P765" s="91"/>
      <c r="Q765" s="91"/>
      <c r="R765" s="91"/>
      <c r="S765" s="41" t="str">
        <f t="shared" si="27"/>
        <v/>
      </c>
    </row>
    <row r="766" spans="1:19" ht="15" customHeight="1" x14ac:dyDescent="0.2">
      <c r="A766" s="9">
        <v>19464</v>
      </c>
      <c r="B766" s="9" t="s">
        <v>123</v>
      </c>
      <c r="C766" s="9" t="s">
        <v>247</v>
      </c>
      <c r="D766" s="23"/>
      <c r="E766" s="42"/>
      <c r="F766" s="43"/>
      <c r="G766" s="42"/>
      <c r="H766" s="43"/>
      <c r="I766" s="25" t="s">
        <v>15</v>
      </c>
      <c r="J766" s="34" t="str">
        <f>IF(E766="","",raw_data!C758)</f>
        <v/>
      </c>
      <c r="K766" s="46"/>
      <c r="L766" s="87"/>
      <c r="M766" s="19" t="str">
        <f>IF(E766="","",raw_data!F758)</f>
        <v/>
      </c>
      <c r="N766" s="20" t="str">
        <f t="shared" si="28"/>
        <v/>
      </c>
      <c r="O766" s="90"/>
      <c r="P766" s="91"/>
      <c r="Q766" s="91"/>
      <c r="R766" s="91"/>
      <c r="S766" s="41" t="str">
        <f t="shared" si="27"/>
        <v/>
      </c>
    </row>
    <row r="767" spans="1:19" ht="15" customHeight="1" x14ac:dyDescent="0.2">
      <c r="A767" s="9">
        <v>19465</v>
      </c>
      <c r="B767" s="9" t="s">
        <v>123</v>
      </c>
      <c r="C767" s="9" t="s">
        <v>248</v>
      </c>
      <c r="D767" s="23"/>
      <c r="E767" s="42"/>
      <c r="F767" s="43"/>
      <c r="G767" s="42"/>
      <c r="H767" s="43"/>
      <c r="I767" s="25" t="s">
        <v>15</v>
      </c>
      <c r="J767" s="34" t="str">
        <f>IF(E767="","",raw_data!C759)</f>
        <v/>
      </c>
      <c r="K767" s="46"/>
      <c r="L767" s="87"/>
      <c r="M767" s="19" t="str">
        <f>IF(E767="","",raw_data!F759)</f>
        <v/>
      </c>
      <c r="N767" s="20" t="str">
        <f t="shared" si="28"/>
        <v/>
      </c>
      <c r="O767" s="90"/>
      <c r="P767" s="91"/>
      <c r="Q767" s="91"/>
      <c r="R767" s="91"/>
      <c r="S767" s="41" t="str">
        <f t="shared" si="27"/>
        <v/>
      </c>
    </row>
    <row r="768" spans="1:19" ht="15" customHeight="1" x14ac:dyDescent="0.2">
      <c r="A768" s="9">
        <v>19466</v>
      </c>
      <c r="B768" s="9" t="s">
        <v>123</v>
      </c>
      <c r="C768" s="9" t="s">
        <v>9</v>
      </c>
      <c r="D768" s="23"/>
      <c r="E768" s="42"/>
      <c r="F768" s="43"/>
      <c r="G768" s="42"/>
      <c r="H768" s="43"/>
      <c r="I768" s="25" t="s">
        <v>15</v>
      </c>
      <c r="J768" s="34" t="str">
        <f>IF(E768="","",raw_data!C760)</f>
        <v/>
      </c>
      <c r="K768" s="46"/>
      <c r="L768" s="87"/>
      <c r="M768" s="19" t="str">
        <f>IF(E768="","",raw_data!F760)</f>
        <v/>
      </c>
      <c r="N768" s="20" t="str">
        <f t="shared" si="28"/>
        <v/>
      </c>
      <c r="O768" s="90"/>
      <c r="P768" s="91"/>
      <c r="Q768" s="91"/>
      <c r="R768" s="91"/>
      <c r="S768" s="41" t="str">
        <f t="shared" si="27"/>
        <v/>
      </c>
    </row>
    <row r="769" spans="1:19" ht="15" customHeight="1" x14ac:dyDescent="0.2">
      <c r="A769" s="9">
        <v>19467</v>
      </c>
      <c r="B769" s="9" t="s">
        <v>123</v>
      </c>
      <c r="C769" s="9" t="s">
        <v>241</v>
      </c>
      <c r="D769" s="23"/>
      <c r="E769" s="42"/>
      <c r="F769" s="43"/>
      <c r="G769" s="42"/>
      <c r="H769" s="43"/>
      <c r="I769" s="25" t="s">
        <v>15</v>
      </c>
      <c r="J769" s="34" t="str">
        <f>IF(E769="","",raw_data!C761)</f>
        <v/>
      </c>
      <c r="K769" s="46"/>
      <c r="L769" s="87"/>
      <c r="M769" s="19" t="str">
        <f>IF(E769="","",raw_data!F761)</f>
        <v/>
      </c>
      <c r="N769" s="20" t="str">
        <f t="shared" si="28"/>
        <v/>
      </c>
      <c r="O769" s="90"/>
      <c r="P769" s="91"/>
      <c r="Q769" s="91"/>
      <c r="R769" s="91"/>
      <c r="S769" s="41" t="str">
        <f t="shared" si="27"/>
        <v/>
      </c>
    </row>
    <row r="770" spans="1:19" ht="15" customHeight="1" x14ac:dyDescent="0.2">
      <c r="A770" s="9">
        <v>19468</v>
      </c>
      <c r="B770" s="9" t="s">
        <v>123</v>
      </c>
      <c r="C770" s="9" t="s">
        <v>300</v>
      </c>
      <c r="D770" s="23"/>
      <c r="E770" s="42"/>
      <c r="F770" s="43"/>
      <c r="G770" s="42"/>
      <c r="H770" s="43"/>
      <c r="I770" s="25" t="s">
        <v>15</v>
      </c>
      <c r="J770" s="34" t="str">
        <f>IF(E770="","",raw_data!C762)</f>
        <v/>
      </c>
      <c r="K770" s="46"/>
      <c r="L770" s="87"/>
      <c r="M770" s="19" t="str">
        <f>IF(E770="","",raw_data!F762)</f>
        <v/>
      </c>
      <c r="N770" s="20" t="str">
        <f t="shared" si="28"/>
        <v/>
      </c>
      <c r="O770" s="90"/>
      <c r="P770" s="91"/>
      <c r="Q770" s="91"/>
      <c r="R770" s="91"/>
      <c r="S770" s="41" t="str">
        <f t="shared" si="27"/>
        <v/>
      </c>
    </row>
    <row r="771" spans="1:19" ht="15" customHeight="1" x14ac:dyDescent="0.2">
      <c r="A771" s="9">
        <v>19469</v>
      </c>
      <c r="B771" s="9" t="s">
        <v>123</v>
      </c>
      <c r="C771" s="9" t="s">
        <v>291</v>
      </c>
      <c r="D771" s="23"/>
      <c r="E771" s="42"/>
      <c r="F771" s="43"/>
      <c r="G771" s="42"/>
      <c r="H771" s="43"/>
      <c r="I771" s="25" t="s">
        <v>15</v>
      </c>
      <c r="J771" s="34" t="str">
        <f>IF(E771="","",raw_data!C763)</f>
        <v/>
      </c>
      <c r="K771" s="46"/>
      <c r="L771" s="87"/>
      <c r="M771" s="19" t="str">
        <f>IF(E771="","",raw_data!F763)</f>
        <v/>
      </c>
      <c r="N771" s="20" t="str">
        <f t="shared" si="28"/>
        <v/>
      </c>
      <c r="O771" s="90"/>
      <c r="P771" s="91"/>
      <c r="Q771" s="91"/>
      <c r="R771" s="91"/>
      <c r="S771" s="41" t="str">
        <f t="shared" si="27"/>
        <v/>
      </c>
    </row>
    <row r="772" spans="1:19" ht="15" customHeight="1" x14ac:dyDescent="0.2">
      <c r="A772" s="9">
        <v>19470</v>
      </c>
      <c r="B772" s="9" t="s">
        <v>123</v>
      </c>
      <c r="C772" s="9" t="s">
        <v>114</v>
      </c>
      <c r="D772" s="23"/>
      <c r="E772" s="42"/>
      <c r="F772" s="43"/>
      <c r="G772" s="42"/>
      <c r="H772" s="43"/>
      <c r="I772" s="25" t="s">
        <v>15</v>
      </c>
      <c r="J772" s="34" t="str">
        <f>IF(E772="","",raw_data!C764)</f>
        <v/>
      </c>
      <c r="K772" s="46"/>
      <c r="L772" s="87"/>
      <c r="M772" s="19" t="str">
        <f>IF(E772="","",raw_data!F764)</f>
        <v/>
      </c>
      <c r="N772" s="20" t="str">
        <f t="shared" si="28"/>
        <v/>
      </c>
      <c r="O772" s="90"/>
      <c r="P772" s="91"/>
      <c r="Q772" s="91"/>
      <c r="R772" s="91"/>
      <c r="S772" s="41" t="str">
        <f t="shared" si="27"/>
        <v/>
      </c>
    </row>
    <row r="773" spans="1:19" ht="15" customHeight="1" x14ac:dyDescent="0.2">
      <c r="A773" s="9">
        <v>19471</v>
      </c>
      <c r="B773" s="9" t="s">
        <v>123</v>
      </c>
      <c r="C773" s="9" t="s">
        <v>292</v>
      </c>
      <c r="D773" s="23"/>
      <c r="E773" s="42"/>
      <c r="F773" s="43"/>
      <c r="G773" s="42"/>
      <c r="H773" s="43"/>
      <c r="I773" s="25" t="s">
        <v>15</v>
      </c>
      <c r="J773" s="34" t="str">
        <f>IF(E773="","",raw_data!C765)</f>
        <v/>
      </c>
      <c r="K773" s="46"/>
      <c r="L773" s="87"/>
      <c r="M773" s="19" t="str">
        <f>IF(E773="","",raw_data!F765)</f>
        <v/>
      </c>
      <c r="N773" s="20" t="str">
        <f t="shared" si="28"/>
        <v/>
      </c>
      <c r="O773" s="90"/>
      <c r="P773" s="91"/>
      <c r="Q773" s="91"/>
      <c r="R773" s="91"/>
      <c r="S773" s="41" t="str">
        <f t="shared" si="27"/>
        <v/>
      </c>
    </row>
    <row r="774" spans="1:19" ht="15" customHeight="1" x14ac:dyDescent="0.2">
      <c r="A774" s="9">
        <v>19472</v>
      </c>
      <c r="B774" s="9" t="s">
        <v>123</v>
      </c>
      <c r="C774" s="9" t="s">
        <v>79</v>
      </c>
      <c r="D774" s="23"/>
      <c r="E774" s="42"/>
      <c r="F774" s="43"/>
      <c r="G774" s="42"/>
      <c r="H774" s="43"/>
      <c r="I774" s="25" t="s">
        <v>15</v>
      </c>
      <c r="J774" s="34" t="str">
        <f>IF(E774="","",raw_data!C766)</f>
        <v/>
      </c>
      <c r="K774" s="46"/>
      <c r="L774" s="87"/>
      <c r="M774" s="19" t="str">
        <f>IF(E774="","",raw_data!F766)</f>
        <v/>
      </c>
      <c r="N774" s="20" t="str">
        <f t="shared" si="28"/>
        <v/>
      </c>
      <c r="O774" s="90"/>
      <c r="P774" s="91"/>
      <c r="Q774" s="91"/>
      <c r="R774" s="91"/>
      <c r="S774" s="41" t="str">
        <f t="shared" si="27"/>
        <v/>
      </c>
    </row>
    <row r="775" spans="1:19" ht="15" customHeight="1" x14ac:dyDescent="0.2">
      <c r="A775" s="9">
        <v>19473</v>
      </c>
      <c r="B775" s="9" t="s">
        <v>123</v>
      </c>
      <c r="C775" s="9" t="s">
        <v>242</v>
      </c>
      <c r="D775" s="23"/>
      <c r="E775" s="42"/>
      <c r="F775" s="43"/>
      <c r="G775" s="42"/>
      <c r="H775" s="43"/>
      <c r="I775" s="25" t="s">
        <v>15</v>
      </c>
      <c r="J775" s="34" t="str">
        <f>IF(E775="","",raw_data!C767)</f>
        <v/>
      </c>
      <c r="K775" s="46"/>
      <c r="L775" s="87"/>
      <c r="M775" s="19" t="str">
        <f>IF(E775="","",raw_data!F767)</f>
        <v/>
      </c>
      <c r="N775" s="20" t="str">
        <f t="shared" si="28"/>
        <v/>
      </c>
      <c r="O775" s="90"/>
      <c r="P775" s="91"/>
      <c r="Q775" s="91"/>
      <c r="R775" s="91"/>
      <c r="S775" s="41" t="str">
        <f t="shared" si="27"/>
        <v/>
      </c>
    </row>
    <row r="776" spans="1:19" ht="15" customHeight="1" x14ac:dyDescent="0.2">
      <c r="A776" s="9">
        <v>19474</v>
      </c>
      <c r="B776" s="9" t="s">
        <v>123</v>
      </c>
      <c r="C776" s="9" t="s">
        <v>80</v>
      </c>
      <c r="D776" s="23"/>
      <c r="E776" s="42"/>
      <c r="F776" s="43"/>
      <c r="G776" s="42"/>
      <c r="H776" s="43"/>
      <c r="I776" s="25" t="s">
        <v>15</v>
      </c>
      <c r="J776" s="34" t="str">
        <f>IF(E776="","",raw_data!C768)</f>
        <v/>
      </c>
      <c r="K776" s="46"/>
      <c r="L776" s="87"/>
      <c r="M776" s="19" t="str">
        <f>IF(E776="","",raw_data!F768)</f>
        <v/>
      </c>
      <c r="N776" s="20" t="str">
        <f t="shared" si="28"/>
        <v/>
      </c>
      <c r="O776" s="90"/>
      <c r="P776" s="91"/>
      <c r="Q776" s="91"/>
      <c r="R776" s="91"/>
      <c r="S776" s="41" t="str">
        <f t="shared" si="27"/>
        <v/>
      </c>
    </row>
    <row r="777" spans="1:19" ht="15" customHeight="1" x14ac:dyDescent="0.2">
      <c r="A777" s="9">
        <v>19475</v>
      </c>
      <c r="B777" s="9" t="s">
        <v>123</v>
      </c>
      <c r="C777" s="9" t="s">
        <v>104</v>
      </c>
      <c r="D777" s="23"/>
      <c r="E777" s="42"/>
      <c r="F777" s="43"/>
      <c r="G777" s="42"/>
      <c r="H777" s="43"/>
      <c r="I777" s="25" t="s">
        <v>15</v>
      </c>
      <c r="J777" s="34" t="str">
        <f>IF(E777="","",raw_data!C769)</f>
        <v/>
      </c>
      <c r="K777" s="46"/>
      <c r="L777" s="87"/>
      <c r="M777" s="19" t="str">
        <f>IF(E777="","",raw_data!F769)</f>
        <v/>
      </c>
      <c r="N777" s="20" t="str">
        <f t="shared" si="28"/>
        <v/>
      </c>
      <c r="O777" s="90"/>
      <c r="P777" s="91"/>
      <c r="Q777" s="91"/>
      <c r="R777" s="91"/>
      <c r="S777" s="41" t="str">
        <f t="shared" si="27"/>
        <v/>
      </c>
    </row>
    <row r="778" spans="1:19" ht="15" customHeight="1" x14ac:dyDescent="0.2">
      <c r="A778" s="9">
        <v>19476</v>
      </c>
      <c r="B778" s="9" t="s">
        <v>123</v>
      </c>
      <c r="C778" s="9" t="s">
        <v>81</v>
      </c>
      <c r="D778" s="23"/>
      <c r="E778" s="42"/>
      <c r="F778" s="43"/>
      <c r="G778" s="42"/>
      <c r="H778" s="43"/>
      <c r="I778" s="25" t="s">
        <v>15</v>
      </c>
      <c r="J778" s="34" t="str">
        <f>IF(E778="","",raw_data!C770)</f>
        <v/>
      </c>
      <c r="K778" s="46"/>
      <c r="L778" s="87"/>
      <c r="M778" s="19" t="str">
        <f>IF(E778="","",raw_data!F770)</f>
        <v/>
      </c>
      <c r="N778" s="20" t="str">
        <f t="shared" si="28"/>
        <v/>
      </c>
      <c r="O778" s="90"/>
      <c r="P778" s="91"/>
      <c r="Q778" s="91"/>
      <c r="R778" s="91"/>
      <c r="S778" s="41" t="str">
        <f t="shared" ref="S778:S826" si="29">IF(E778="","",IF(OR(NOT(ISNUMBER(N778)),N778&lt;=(1-E778)),"erfüllt",IF(G778="Fehler","mit Fehler",IF(G778="Warnung","mit Warnung",""))))</f>
        <v/>
      </c>
    </row>
    <row r="779" spans="1:19" ht="15" customHeight="1" x14ac:dyDescent="0.2">
      <c r="A779" s="9">
        <v>19477</v>
      </c>
      <c r="B779" s="9" t="s">
        <v>123</v>
      </c>
      <c r="C779" s="9" t="s">
        <v>193</v>
      </c>
      <c r="D779" s="23"/>
      <c r="E779" s="42"/>
      <c r="F779" s="43"/>
      <c r="G779" s="42"/>
      <c r="H779" s="43"/>
      <c r="I779" s="25" t="s">
        <v>15</v>
      </c>
      <c r="J779" s="34" t="str">
        <f>IF(E779="","",raw_data!C771)</f>
        <v/>
      </c>
      <c r="K779" s="46"/>
      <c r="L779" s="87"/>
      <c r="M779" s="19" t="str">
        <f>IF(E779="","",raw_data!F771)</f>
        <v/>
      </c>
      <c r="N779" s="20" t="str">
        <f t="shared" ref="N779:N826" si="30">IF(E779="","",IFERROR(M779/J779,"-"))</f>
        <v/>
      </c>
      <c r="O779" s="90"/>
      <c r="P779" s="91"/>
      <c r="Q779" s="91"/>
      <c r="R779" s="91"/>
      <c r="S779" s="41" t="str">
        <f t="shared" si="29"/>
        <v/>
      </c>
    </row>
    <row r="780" spans="1:19" ht="15" customHeight="1" x14ac:dyDescent="0.2">
      <c r="A780" s="9">
        <v>19478</v>
      </c>
      <c r="B780" s="9" t="s">
        <v>123</v>
      </c>
      <c r="C780" s="9" t="s">
        <v>56</v>
      </c>
      <c r="D780" s="23"/>
      <c r="E780" s="42"/>
      <c r="F780" s="43"/>
      <c r="G780" s="42"/>
      <c r="H780" s="43"/>
      <c r="I780" s="25" t="s">
        <v>15</v>
      </c>
      <c r="J780" s="34" t="str">
        <f>IF(E780="","",raw_data!C772)</f>
        <v/>
      </c>
      <c r="K780" s="46"/>
      <c r="L780" s="87"/>
      <c r="M780" s="19" t="str">
        <f>IF(E780="","",raw_data!F772)</f>
        <v/>
      </c>
      <c r="N780" s="20" t="str">
        <f t="shared" si="30"/>
        <v/>
      </c>
      <c r="O780" s="90"/>
      <c r="P780" s="91"/>
      <c r="Q780" s="91"/>
      <c r="R780" s="91"/>
      <c r="S780" s="41" t="str">
        <f t="shared" si="29"/>
        <v/>
      </c>
    </row>
    <row r="781" spans="1:19" ht="15" customHeight="1" x14ac:dyDescent="0.2">
      <c r="A781" s="9">
        <v>19479</v>
      </c>
      <c r="B781" s="9" t="s">
        <v>124</v>
      </c>
      <c r="C781" s="9" t="s">
        <v>77</v>
      </c>
      <c r="D781" s="23"/>
      <c r="E781" s="42"/>
      <c r="F781" s="43"/>
      <c r="G781" s="42"/>
      <c r="H781" s="43"/>
      <c r="I781" s="25" t="s">
        <v>15</v>
      </c>
      <c r="J781" s="34" t="str">
        <f>IF(E781="","",raw_data!C773)</f>
        <v/>
      </c>
      <c r="K781" s="46"/>
      <c r="L781" s="87"/>
      <c r="M781" s="19" t="str">
        <f>IF(E781="","",raw_data!F773)</f>
        <v/>
      </c>
      <c r="N781" s="20" t="str">
        <f t="shared" si="30"/>
        <v/>
      </c>
      <c r="O781" s="90"/>
      <c r="P781" s="91"/>
      <c r="Q781" s="91"/>
      <c r="R781" s="91"/>
      <c r="S781" s="41" t="str">
        <f t="shared" si="29"/>
        <v/>
      </c>
    </row>
    <row r="782" spans="1:19" ht="15" customHeight="1" x14ac:dyDescent="0.2">
      <c r="A782" s="9">
        <v>19480</v>
      </c>
      <c r="B782" s="9" t="s">
        <v>124</v>
      </c>
      <c r="C782" s="9" t="s">
        <v>19</v>
      </c>
      <c r="D782" s="23"/>
      <c r="E782" s="42"/>
      <c r="F782" s="43"/>
      <c r="G782" s="42"/>
      <c r="H782" s="43"/>
      <c r="I782" s="25" t="s">
        <v>15</v>
      </c>
      <c r="J782" s="34" t="str">
        <f>IF(E782="","",raw_data!C774)</f>
        <v/>
      </c>
      <c r="K782" s="46"/>
      <c r="L782" s="87"/>
      <c r="M782" s="19" t="str">
        <f>IF(E782="","",raw_data!F774)</f>
        <v/>
      </c>
      <c r="N782" s="20" t="str">
        <f t="shared" si="30"/>
        <v/>
      </c>
      <c r="O782" s="90"/>
      <c r="P782" s="91"/>
      <c r="Q782" s="91"/>
      <c r="R782" s="91"/>
      <c r="S782" s="41" t="str">
        <f t="shared" si="29"/>
        <v/>
      </c>
    </row>
    <row r="783" spans="1:19" ht="15" customHeight="1" x14ac:dyDescent="0.2">
      <c r="A783" s="9">
        <v>19481</v>
      </c>
      <c r="B783" s="9" t="s">
        <v>124</v>
      </c>
      <c r="C783" s="9" t="s">
        <v>125</v>
      </c>
      <c r="D783" s="23"/>
      <c r="E783" s="42"/>
      <c r="F783" s="43"/>
      <c r="G783" s="42"/>
      <c r="H783" s="43"/>
      <c r="I783" s="25" t="s">
        <v>15</v>
      </c>
      <c r="J783" s="34" t="str">
        <f>IF(E783="","",raw_data!C775)</f>
        <v/>
      </c>
      <c r="K783" s="46"/>
      <c r="L783" s="87"/>
      <c r="M783" s="19" t="str">
        <f>IF(E783="","",raw_data!F775)</f>
        <v/>
      </c>
      <c r="N783" s="20" t="str">
        <f t="shared" si="30"/>
        <v/>
      </c>
      <c r="O783" s="90"/>
      <c r="P783" s="91"/>
      <c r="Q783" s="91"/>
      <c r="R783" s="91"/>
      <c r="S783" s="41" t="str">
        <f t="shared" si="29"/>
        <v/>
      </c>
    </row>
    <row r="784" spans="1:19" ht="15" customHeight="1" x14ac:dyDescent="0.2">
      <c r="A784" s="9">
        <v>19482</v>
      </c>
      <c r="B784" s="9" t="s">
        <v>124</v>
      </c>
      <c r="C784" s="9" t="s">
        <v>240</v>
      </c>
      <c r="D784" s="23"/>
      <c r="E784" s="42"/>
      <c r="F784" s="43"/>
      <c r="G784" s="42"/>
      <c r="H784" s="43"/>
      <c r="I784" s="25" t="s">
        <v>15</v>
      </c>
      <c r="J784" s="34" t="str">
        <f>IF(E784="","",raw_data!C776)</f>
        <v/>
      </c>
      <c r="K784" s="46"/>
      <c r="L784" s="87"/>
      <c r="M784" s="19" t="str">
        <f>IF(E784="","",raw_data!F776)</f>
        <v/>
      </c>
      <c r="N784" s="20" t="str">
        <f t="shared" si="30"/>
        <v/>
      </c>
      <c r="O784" s="90"/>
      <c r="P784" s="91"/>
      <c r="Q784" s="91"/>
      <c r="R784" s="91"/>
      <c r="S784" s="41" t="str">
        <f t="shared" si="29"/>
        <v/>
      </c>
    </row>
    <row r="785" spans="1:19" ht="15" customHeight="1" x14ac:dyDescent="0.2">
      <c r="A785" s="9">
        <v>19483</v>
      </c>
      <c r="B785" s="9" t="s">
        <v>124</v>
      </c>
      <c r="C785" s="9" t="s">
        <v>160</v>
      </c>
      <c r="D785" s="23"/>
      <c r="E785" s="42"/>
      <c r="F785" s="43"/>
      <c r="G785" s="42"/>
      <c r="H785" s="43"/>
      <c r="I785" s="25" t="s">
        <v>15</v>
      </c>
      <c r="J785" s="34" t="str">
        <f>IF(E785="","",raw_data!C777)</f>
        <v/>
      </c>
      <c r="K785" s="46"/>
      <c r="L785" s="87"/>
      <c r="M785" s="19" t="str">
        <f>IF(E785="","",raw_data!F777)</f>
        <v/>
      </c>
      <c r="N785" s="20" t="str">
        <f t="shared" si="30"/>
        <v/>
      </c>
      <c r="O785" s="90"/>
      <c r="P785" s="91"/>
      <c r="Q785" s="91"/>
      <c r="R785" s="91"/>
      <c r="S785" s="41" t="str">
        <f t="shared" si="29"/>
        <v/>
      </c>
    </row>
    <row r="786" spans="1:19" ht="15" customHeight="1" x14ac:dyDescent="0.2">
      <c r="A786" s="9">
        <v>19484</v>
      </c>
      <c r="B786" s="9" t="s">
        <v>124</v>
      </c>
      <c r="C786" s="9" t="s">
        <v>161</v>
      </c>
      <c r="D786" s="23"/>
      <c r="E786" s="42"/>
      <c r="F786" s="43"/>
      <c r="G786" s="42"/>
      <c r="H786" s="43"/>
      <c r="I786" s="25" t="s">
        <v>15</v>
      </c>
      <c r="J786" s="34" t="str">
        <f>IF(E786="","",raw_data!C778)</f>
        <v/>
      </c>
      <c r="K786" s="46"/>
      <c r="L786" s="87"/>
      <c r="M786" s="19" t="str">
        <f>IF(E786="","",raw_data!F778)</f>
        <v/>
      </c>
      <c r="N786" s="20" t="str">
        <f t="shared" si="30"/>
        <v/>
      </c>
      <c r="O786" s="90"/>
      <c r="P786" s="91"/>
      <c r="Q786" s="91"/>
      <c r="R786" s="91"/>
      <c r="S786" s="41" t="str">
        <f t="shared" si="29"/>
        <v/>
      </c>
    </row>
    <row r="787" spans="1:19" ht="15" customHeight="1" x14ac:dyDescent="0.2">
      <c r="A787" s="9">
        <v>19485</v>
      </c>
      <c r="B787" s="9" t="s">
        <v>124</v>
      </c>
      <c r="C787" s="9" t="s">
        <v>346</v>
      </c>
      <c r="D787" s="23"/>
      <c r="E787" s="42"/>
      <c r="F787" s="43"/>
      <c r="G787" s="42"/>
      <c r="H787" s="43"/>
      <c r="I787" s="25" t="s">
        <v>15</v>
      </c>
      <c r="J787" s="34" t="str">
        <f>IF(E787="","",raw_data!C779)</f>
        <v/>
      </c>
      <c r="K787" s="46"/>
      <c r="L787" s="87"/>
      <c r="M787" s="19" t="str">
        <f>IF(E787="","",raw_data!F779)</f>
        <v/>
      </c>
      <c r="N787" s="20" t="str">
        <f t="shared" si="30"/>
        <v/>
      </c>
      <c r="O787" s="90"/>
      <c r="P787" s="91"/>
      <c r="Q787" s="91"/>
      <c r="R787" s="91"/>
      <c r="S787" s="41" t="str">
        <f t="shared" si="29"/>
        <v/>
      </c>
    </row>
    <row r="788" spans="1:19" ht="15" customHeight="1" x14ac:dyDescent="0.2">
      <c r="A788" s="9">
        <v>19486</v>
      </c>
      <c r="B788" s="9" t="s">
        <v>124</v>
      </c>
      <c r="C788" s="9" t="s">
        <v>347</v>
      </c>
      <c r="D788" s="23"/>
      <c r="E788" s="42"/>
      <c r="F788" s="43"/>
      <c r="G788" s="42"/>
      <c r="H788" s="43"/>
      <c r="I788" s="25" t="s">
        <v>15</v>
      </c>
      <c r="J788" s="34" t="str">
        <f>IF(E788="","",raw_data!C780)</f>
        <v/>
      </c>
      <c r="K788" s="46"/>
      <c r="L788" s="87"/>
      <c r="M788" s="19" t="str">
        <f>IF(E788="","",raw_data!F780)</f>
        <v/>
      </c>
      <c r="N788" s="20" t="str">
        <f t="shared" si="30"/>
        <v/>
      </c>
      <c r="O788" s="90"/>
      <c r="P788" s="91"/>
      <c r="Q788" s="91"/>
      <c r="R788" s="91"/>
      <c r="S788" s="41" t="str">
        <f t="shared" si="29"/>
        <v/>
      </c>
    </row>
    <row r="789" spans="1:19" ht="15" customHeight="1" x14ac:dyDescent="0.2">
      <c r="A789" s="9">
        <v>19487</v>
      </c>
      <c r="B789" s="9" t="s">
        <v>124</v>
      </c>
      <c r="C789" s="9" t="s">
        <v>348</v>
      </c>
      <c r="D789" s="23"/>
      <c r="E789" s="42"/>
      <c r="F789" s="43"/>
      <c r="G789" s="42"/>
      <c r="H789" s="43"/>
      <c r="I789" s="25" t="s">
        <v>15</v>
      </c>
      <c r="J789" s="34" t="str">
        <f>IF(E789="","",raw_data!C781)</f>
        <v/>
      </c>
      <c r="K789" s="46"/>
      <c r="L789" s="87"/>
      <c r="M789" s="19" t="str">
        <f>IF(E789="","",raw_data!F781)</f>
        <v/>
      </c>
      <c r="N789" s="20" t="str">
        <f t="shared" si="30"/>
        <v/>
      </c>
      <c r="O789" s="90"/>
      <c r="P789" s="91"/>
      <c r="Q789" s="91"/>
      <c r="R789" s="91"/>
      <c r="S789" s="41" t="str">
        <f t="shared" si="29"/>
        <v/>
      </c>
    </row>
    <row r="790" spans="1:19" ht="15" customHeight="1" x14ac:dyDescent="0.2">
      <c r="A790" s="9">
        <v>19488</v>
      </c>
      <c r="B790" s="9" t="s">
        <v>124</v>
      </c>
      <c r="C790" s="9" t="s">
        <v>349</v>
      </c>
      <c r="D790" s="23"/>
      <c r="E790" s="42"/>
      <c r="F790" s="43"/>
      <c r="G790" s="42"/>
      <c r="H790" s="43"/>
      <c r="I790" s="25" t="s">
        <v>15</v>
      </c>
      <c r="J790" s="34" t="str">
        <f>IF(E790="","",raw_data!C782)</f>
        <v/>
      </c>
      <c r="K790" s="46"/>
      <c r="L790" s="87"/>
      <c r="M790" s="19" t="str">
        <f>IF(E790="","",raw_data!F782)</f>
        <v/>
      </c>
      <c r="N790" s="20" t="str">
        <f t="shared" si="30"/>
        <v/>
      </c>
      <c r="O790" s="90"/>
      <c r="P790" s="91"/>
      <c r="Q790" s="91"/>
      <c r="R790" s="91"/>
      <c r="S790" s="41" t="str">
        <f t="shared" si="29"/>
        <v/>
      </c>
    </row>
    <row r="791" spans="1:19" ht="15" customHeight="1" x14ac:dyDescent="0.2">
      <c r="A791" s="9">
        <v>19489</v>
      </c>
      <c r="B791" s="9" t="s">
        <v>124</v>
      </c>
      <c r="C791" s="9" t="s">
        <v>350</v>
      </c>
      <c r="D791" s="23"/>
      <c r="E791" s="42"/>
      <c r="F791" s="43"/>
      <c r="G791" s="42"/>
      <c r="H791" s="43"/>
      <c r="I791" s="25" t="s">
        <v>15</v>
      </c>
      <c r="J791" s="34" t="str">
        <f>IF(E791="","",raw_data!C783)</f>
        <v/>
      </c>
      <c r="K791" s="46"/>
      <c r="L791" s="87"/>
      <c r="M791" s="19" t="str">
        <f>IF(E791="","",raw_data!F783)</f>
        <v/>
      </c>
      <c r="N791" s="20" t="str">
        <f t="shared" si="30"/>
        <v/>
      </c>
      <c r="O791" s="90"/>
      <c r="P791" s="91"/>
      <c r="Q791" s="91"/>
      <c r="R791" s="91"/>
      <c r="S791" s="41" t="str">
        <f t="shared" si="29"/>
        <v/>
      </c>
    </row>
    <row r="792" spans="1:19" ht="15" customHeight="1" x14ac:dyDescent="0.2">
      <c r="A792" s="9">
        <v>19490</v>
      </c>
      <c r="B792" s="9" t="s">
        <v>124</v>
      </c>
      <c r="C792" s="9" t="s">
        <v>351</v>
      </c>
      <c r="D792" s="23"/>
      <c r="E792" s="42"/>
      <c r="F792" s="43"/>
      <c r="G792" s="42"/>
      <c r="H792" s="43"/>
      <c r="I792" s="25" t="s">
        <v>15</v>
      </c>
      <c r="J792" s="34" t="str">
        <f>IF(E792="","",raw_data!C784)</f>
        <v/>
      </c>
      <c r="K792" s="46"/>
      <c r="L792" s="87"/>
      <c r="M792" s="19" t="str">
        <f>IF(E792="","",raw_data!F784)</f>
        <v/>
      </c>
      <c r="N792" s="20" t="str">
        <f t="shared" si="30"/>
        <v/>
      </c>
      <c r="O792" s="90"/>
      <c r="P792" s="91"/>
      <c r="Q792" s="91"/>
      <c r="R792" s="91"/>
      <c r="S792" s="41" t="str">
        <f t="shared" si="29"/>
        <v/>
      </c>
    </row>
    <row r="793" spans="1:19" ht="15" customHeight="1" x14ac:dyDescent="0.2">
      <c r="A793" s="9">
        <v>19491</v>
      </c>
      <c r="B793" s="9" t="s">
        <v>124</v>
      </c>
      <c r="C793" s="9" t="s">
        <v>352</v>
      </c>
      <c r="D793" s="23"/>
      <c r="E793" s="42"/>
      <c r="F793" s="43"/>
      <c r="G793" s="42"/>
      <c r="H793" s="43"/>
      <c r="I793" s="25" t="s">
        <v>15</v>
      </c>
      <c r="J793" s="34" t="str">
        <f>IF(E793="","",raw_data!C785)</f>
        <v/>
      </c>
      <c r="K793" s="46"/>
      <c r="L793" s="87"/>
      <c r="M793" s="19" t="str">
        <f>IF(E793="","",raw_data!F785)</f>
        <v/>
      </c>
      <c r="N793" s="20" t="str">
        <f t="shared" si="30"/>
        <v/>
      </c>
      <c r="O793" s="90"/>
      <c r="P793" s="91"/>
      <c r="Q793" s="91"/>
      <c r="R793" s="91"/>
      <c r="S793" s="41" t="str">
        <f t="shared" si="29"/>
        <v/>
      </c>
    </row>
    <row r="794" spans="1:19" ht="15" customHeight="1" x14ac:dyDescent="0.2">
      <c r="A794" s="9">
        <v>19492</v>
      </c>
      <c r="B794" s="9" t="s">
        <v>124</v>
      </c>
      <c r="C794" s="9" t="s">
        <v>353</v>
      </c>
      <c r="D794" s="23"/>
      <c r="E794" s="42"/>
      <c r="F794" s="43"/>
      <c r="G794" s="42"/>
      <c r="H794" s="43"/>
      <c r="I794" s="25" t="s">
        <v>15</v>
      </c>
      <c r="J794" s="34" t="str">
        <f>IF(E794="","",raw_data!C786)</f>
        <v/>
      </c>
      <c r="K794" s="46"/>
      <c r="L794" s="87"/>
      <c r="M794" s="19" t="str">
        <f>IF(E794="","",raw_data!F786)</f>
        <v/>
      </c>
      <c r="N794" s="20" t="str">
        <f t="shared" si="30"/>
        <v/>
      </c>
      <c r="O794" s="90"/>
      <c r="P794" s="91"/>
      <c r="Q794" s="91"/>
      <c r="R794" s="91"/>
      <c r="S794" s="41" t="str">
        <f t="shared" si="29"/>
        <v/>
      </c>
    </row>
    <row r="795" spans="1:19" ht="15" customHeight="1" x14ac:dyDescent="0.2">
      <c r="A795" s="9">
        <v>19493</v>
      </c>
      <c r="B795" s="9" t="s">
        <v>124</v>
      </c>
      <c r="C795" s="9" t="s">
        <v>354</v>
      </c>
      <c r="D795" s="23"/>
      <c r="E795" s="42"/>
      <c r="F795" s="43"/>
      <c r="G795" s="42"/>
      <c r="H795" s="43"/>
      <c r="I795" s="25" t="s">
        <v>15</v>
      </c>
      <c r="J795" s="34" t="str">
        <f>IF(E795="","",raw_data!C787)</f>
        <v/>
      </c>
      <c r="K795" s="46"/>
      <c r="L795" s="87"/>
      <c r="M795" s="19" t="str">
        <f>IF(E795="","",raw_data!F787)</f>
        <v/>
      </c>
      <c r="N795" s="20" t="str">
        <f t="shared" si="30"/>
        <v/>
      </c>
      <c r="O795" s="90"/>
      <c r="P795" s="91"/>
      <c r="Q795" s="91"/>
      <c r="R795" s="91"/>
      <c r="S795" s="41" t="str">
        <f t="shared" si="29"/>
        <v/>
      </c>
    </row>
    <row r="796" spans="1:19" ht="15" customHeight="1" x14ac:dyDescent="0.2">
      <c r="A796" s="9">
        <v>19494</v>
      </c>
      <c r="B796" s="9" t="s">
        <v>124</v>
      </c>
      <c r="C796" s="9" t="s">
        <v>78</v>
      </c>
      <c r="D796" s="23"/>
      <c r="E796" s="42"/>
      <c r="F796" s="43"/>
      <c r="G796" s="42"/>
      <c r="H796" s="43"/>
      <c r="I796" s="25" t="s">
        <v>15</v>
      </c>
      <c r="J796" s="34" t="str">
        <f>IF(E796="","",raw_data!C788)</f>
        <v/>
      </c>
      <c r="K796" s="46"/>
      <c r="L796" s="87"/>
      <c r="M796" s="19" t="str">
        <f>IF(E796="","",raw_data!F788)</f>
        <v/>
      </c>
      <c r="N796" s="20" t="str">
        <f t="shared" si="30"/>
        <v/>
      </c>
      <c r="O796" s="90"/>
      <c r="P796" s="91"/>
      <c r="Q796" s="91"/>
      <c r="R796" s="91"/>
      <c r="S796" s="41" t="str">
        <f t="shared" si="29"/>
        <v/>
      </c>
    </row>
    <row r="797" spans="1:19" ht="15" customHeight="1" x14ac:dyDescent="0.2">
      <c r="A797" s="9">
        <v>19495</v>
      </c>
      <c r="B797" s="9" t="s">
        <v>124</v>
      </c>
      <c r="C797" s="9" t="s">
        <v>162</v>
      </c>
      <c r="D797" s="23"/>
      <c r="E797" s="42"/>
      <c r="F797" s="43"/>
      <c r="G797" s="42"/>
      <c r="H797" s="43"/>
      <c r="I797" s="25" t="s">
        <v>15</v>
      </c>
      <c r="J797" s="34" t="str">
        <f>IF(E797="","",raw_data!C789)</f>
        <v/>
      </c>
      <c r="K797" s="46"/>
      <c r="L797" s="87"/>
      <c r="M797" s="19" t="str">
        <f>IF(E797="","",raw_data!F789)</f>
        <v/>
      </c>
      <c r="N797" s="20" t="str">
        <f t="shared" si="30"/>
        <v/>
      </c>
      <c r="O797" s="90"/>
      <c r="P797" s="91"/>
      <c r="Q797" s="91"/>
      <c r="R797" s="91"/>
      <c r="S797" s="41" t="str">
        <f t="shared" si="29"/>
        <v/>
      </c>
    </row>
    <row r="798" spans="1:19" ht="15" customHeight="1" x14ac:dyDescent="0.2">
      <c r="A798" s="9">
        <v>19496</v>
      </c>
      <c r="B798" s="9" t="s">
        <v>124</v>
      </c>
      <c r="C798" s="9" t="s">
        <v>355</v>
      </c>
      <c r="D798" s="23"/>
      <c r="E798" s="42"/>
      <c r="F798" s="43"/>
      <c r="G798" s="42"/>
      <c r="H798" s="43"/>
      <c r="I798" s="25" t="s">
        <v>15</v>
      </c>
      <c r="J798" s="34" t="str">
        <f>IF(E798="","",raw_data!C790)</f>
        <v/>
      </c>
      <c r="K798" s="46"/>
      <c r="L798" s="87"/>
      <c r="M798" s="19" t="str">
        <f>IF(E798="","",raw_data!F790)</f>
        <v/>
      </c>
      <c r="N798" s="20" t="str">
        <f t="shared" si="30"/>
        <v/>
      </c>
      <c r="O798" s="90"/>
      <c r="P798" s="91"/>
      <c r="Q798" s="91"/>
      <c r="R798" s="91"/>
      <c r="S798" s="41" t="str">
        <f t="shared" si="29"/>
        <v/>
      </c>
    </row>
    <row r="799" spans="1:19" ht="15" customHeight="1" x14ac:dyDescent="0.2">
      <c r="A799" s="9">
        <v>19497</v>
      </c>
      <c r="B799" s="9" t="s">
        <v>124</v>
      </c>
      <c r="C799" s="9" t="s">
        <v>356</v>
      </c>
      <c r="D799" s="23"/>
      <c r="E799" s="42"/>
      <c r="F799" s="43"/>
      <c r="G799" s="42"/>
      <c r="H799" s="43"/>
      <c r="I799" s="25" t="s">
        <v>15</v>
      </c>
      <c r="J799" s="34" t="str">
        <f>IF(E799="","",raw_data!C791)</f>
        <v/>
      </c>
      <c r="K799" s="46"/>
      <c r="L799" s="87"/>
      <c r="M799" s="19" t="str">
        <f>IF(E799="","",raw_data!F791)</f>
        <v/>
      </c>
      <c r="N799" s="20" t="str">
        <f t="shared" si="30"/>
        <v/>
      </c>
      <c r="O799" s="90"/>
      <c r="P799" s="91"/>
      <c r="Q799" s="91"/>
      <c r="R799" s="91"/>
      <c r="S799" s="41" t="str">
        <f t="shared" si="29"/>
        <v/>
      </c>
    </row>
    <row r="800" spans="1:19" ht="15" customHeight="1" x14ac:dyDescent="0.2">
      <c r="A800" s="9">
        <v>19498</v>
      </c>
      <c r="B800" s="9" t="s">
        <v>124</v>
      </c>
      <c r="C800" s="9" t="s">
        <v>357</v>
      </c>
      <c r="D800" s="23"/>
      <c r="E800" s="42"/>
      <c r="F800" s="43"/>
      <c r="G800" s="42"/>
      <c r="H800" s="43"/>
      <c r="I800" s="25" t="s">
        <v>15</v>
      </c>
      <c r="J800" s="34" t="str">
        <f>IF(E800="","",raw_data!C792)</f>
        <v/>
      </c>
      <c r="K800" s="46"/>
      <c r="L800" s="87"/>
      <c r="M800" s="19" t="str">
        <f>IF(E800="","",raw_data!F792)</f>
        <v/>
      </c>
      <c r="N800" s="20" t="str">
        <f t="shared" si="30"/>
        <v/>
      </c>
      <c r="O800" s="90"/>
      <c r="P800" s="91"/>
      <c r="Q800" s="91"/>
      <c r="R800" s="91"/>
      <c r="S800" s="41" t="str">
        <f t="shared" si="29"/>
        <v/>
      </c>
    </row>
    <row r="801" spans="1:19" ht="15" customHeight="1" x14ac:dyDescent="0.2">
      <c r="A801" s="9">
        <v>19499</v>
      </c>
      <c r="B801" s="9" t="s">
        <v>124</v>
      </c>
      <c r="C801" s="9" t="s">
        <v>358</v>
      </c>
      <c r="D801" s="23"/>
      <c r="E801" s="42"/>
      <c r="F801" s="43"/>
      <c r="G801" s="42"/>
      <c r="H801" s="43"/>
      <c r="I801" s="25" t="s">
        <v>15</v>
      </c>
      <c r="J801" s="34" t="str">
        <f>IF(E801="","",raw_data!C793)</f>
        <v/>
      </c>
      <c r="K801" s="46"/>
      <c r="L801" s="87"/>
      <c r="M801" s="19" t="str">
        <f>IF(E801="","",raw_data!F793)</f>
        <v/>
      </c>
      <c r="N801" s="20" t="str">
        <f t="shared" si="30"/>
        <v/>
      </c>
      <c r="O801" s="90"/>
      <c r="P801" s="91"/>
      <c r="Q801" s="91"/>
      <c r="R801" s="91"/>
      <c r="S801" s="41" t="str">
        <f t="shared" si="29"/>
        <v/>
      </c>
    </row>
    <row r="802" spans="1:19" ht="15" customHeight="1" x14ac:dyDescent="0.2">
      <c r="A802" s="9">
        <v>19500</v>
      </c>
      <c r="B802" s="9" t="s">
        <v>124</v>
      </c>
      <c r="C802" s="9" t="s">
        <v>359</v>
      </c>
      <c r="D802" s="23"/>
      <c r="E802" s="42"/>
      <c r="F802" s="43"/>
      <c r="G802" s="42"/>
      <c r="H802" s="43"/>
      <c r="I802" s="25" t="s">
        <v>15</v>
      </c>
      <c r="J802" s="34" t="str">
        <f>IF(E802="","",raw_data!C794)</f>
        <v/>
      </c>
      <c r="K802" s="46"/>
      <c r="L802" s="87"/>
      <c r="M802" s="19" t="str">
        <f>IF(E802="","",raw_data!F794)</f>
        <v/>
      </c>
      <c r="N802" s="20" t="str">
        <f t="shared" si="30"/>
        <v/>
      </c>
      <c r="O802" s="90"/>
      <c r="P802" s="91"/>
      <c r="Q802" s="91"/>
      <c r="R802" s="91"/>
      <c r="S802" s="41" t="str">
        <f t="shared" si="29"/>
        <v/>
      </c>
    </row>
    <row r="803" spans="1:19" ht="15" customHeight="1" x14ac:dyDescent="0.2">
      <c r="A803" s="9">
        <v>19501</v>
      </c>
      <c r="B803" s="9" t="s">
        <v>124</v>
      </c>
      <c r="C803" s="9" t="s">
        <v>360</v>
      </c>
      <c r="D803" s="23"/>
      <c r="E803" s="42"/>
      <c r="F803" s="43"/>
      <c r="G803" s="42"/>
      <c r="H803" s="43"/>
      <c r="I803" s="25" t="s">
        <v>15</v>
      </c>
      <c r="J803" s="34" t="str">
        <f>IF(E803="","",raw_data!C795)</f>
        <v/>
      </c>
      <c r="K803" s="46"/>
      <c r="L803" s="87"/>
      <c r="M803" s="19" t="str">
        <f>IF(E803="","",raw_data!F795)</f>
        <v/>
      </c>
      <c r="N803" s="20" t="str">
        <f t="shared" si="30"/>
        <v/>
      </c>
      <c r="O803" s="90"/>
      <c r="P803" s="91"/>
      <c r="Q803" s="91"/>
      <c r="R803" s="91"/>
      <c r="S803" s="41" t="str">
        <f t="shared" si="29"/>
        <v/>
      </c>
    </row>
    <row r="804" spans="1:19" ht="15" customHeight="1" x14ac:dyDescent="0.2">
      <c r="A804" s="9">
        <v>19502</v>
      </c>
      <c r="B804" s="9" t="s">
        <v>124</v>
      </c>
      <c r="C804" s="9" t="s">
        <v>361</v>
      </c>
      <c r="D804" s="23"/>
      <c r="E804" s="42"/>
      <c r="F804" s="43"/>
      <c r="G804" s="42"/>
      <c r="H804" s="43"/>
      <c r="I804" s="25" t="s">
        <v>15</v>
      </c>
      <c r="J804" s="34" t="str">
        <f>IF(E804="","",raw_data!C796)</f>
        <v/>
      </c>
      <c r="K804" s="46"/>
      <c r="L804" s="87"/>
      <c r="M804" s="19" t="str">
        <f>IF(E804="","",raw_data!F796)</f>
        <v/>
      </c>
      <c r="N804" s="20" t="str">
        <f t="shared" si="30"/>
        <v/>
      </c>
      <c r="O804" s="90"/>
      <c r="P804" s="91"/>
      <c r="Q804" s="91"/>
      <c r="R804" s="91"/>
      <c r="S804" s="41" t="str">
        <f t="shared" si="29"/>
        <v/>
      </c>
    </row>
    <row r="805" spans="1:19" ht="15" customHeight="1" x14ac:dyDescent="0.2">
      <c r="A805" s="9">
        <v>19503</v>
      </c>
      <c r="B805" s="9" t="s">
        <v>124</v>
      </c>
      <c r="C805" s="9" t="s">
        <v>362</v>
      </c>
      <c r="D805" s="23"/>
      <c r="E805" s="42"/>
      <c r="F805" s="43"/>
      <c r="G805" s="42"/>
      <c r="H805" s="43"/>
      <c r="I805" s="25" t="s">
        <v>15</v>
      </c>
      <c r="J805" s="34" t="str">
        <f>IF(E805="","",raw_data!C797)</f>
        <v/>
      </c>
      <c r="K805" s="46"/>
      <c r="L805" s="87"/>
      <c r="M805" s="19" t="str">
        <f>IF(E805="","",raw_data!F797)</f>
        <v/>
      </c>
      <c r="N805" s="20" t="str">
        <f t="shared" si="30"/>
        <v/>
      </c>
      <c r="O805" s="90"/>
      <c r="P805" s="91"/>
      <c r="Q805" s="91"/>
      <c r="R805" s="91"/>
      <c r="S805" s="41" t="str">
        <f t="shared" si="29"/>
        <v/>
      </c>
    </row>
    <row r="806" spans="1:19" ht="15" customHeight="1" x14ac:dyDescent="0.2">
      <c r="A806" s="9">
        <v>19504</v>
      </c>
      <c r="B806" s="9" t="s">
        <v>124</v>
      </c>
      <c r="C806" s="9" t="s">
        <v>363</v>
      </c>
      <c r="D806" s="23"/>
      <c r="E806" s="42"/>
      <c r="F806" s="43"/>
      <c r="G806" s="42"/>
      <c r="H806" s="43"/>
      <c r="I806" s="25" t="s">
        <v>15</v>
      </c>
      <c r="J806" s="34" t="str">
        <f>IF(E806="","",raw_data!C798)</f>
        <v/>
      </c>
      <c r="K806" s="46"/>
      <c r="L806" s="87"/>
      <c r="M806" s="19" t="str">
        <f>IF(E806="","",raw_data!F798)</f>
        <v/>
      </c>
      <c r="N806" s="20" t="str">
        <f t="shared" si="30"/>
        <v/>
      </c>
      <c r="O806" s="90"/>
      <c r="P806" s="91"/>
      <c r="Q806" s="91"/>
      <c r="R806" s="91"/>
      <c r="S806" s="41" t="str">
        <f t="shared" si="29"/>
        <v/>
      </c>
    </row>
    <row r="807" spans="1:19" ht="15" customHeight="1" x14ac:dyDescent="0.2">
      <c r="A807" s="9">
        <v>19505</v>
      </c>
      <c r="B807" s="9" t="s">
        <v>124</v>
      </c>
      <c r="C807" s="9" t="s">
        <v>9</v>
      </c>
      <c r="D807" s="23"/>
      <c r="E807" s="42"/>
      <c r="F807" s="43"/>
      <c r="G807" s="42"/>
      <c r="H807" s="43"/>
      <c r="I807" s="25" t="s">
        <v>15</v>
      </c>
      <c r="J807" s="34" t="str">
        <f>IF(E807="","",raw_data!C799)</f>
        <v/>
      </c>
      <c r="K807" s="46"/>
      <c r="L807" s="87"/>
      <c r="M807" s="19" t="str">
        <f>IF(E807="","",raw_data!F799)</f>
        <v/>
      </c>
      <c r="N807" s="20" t="str">
        <f t="shared" si="30"/>
        <v/>
      </c>
      <c r="O807" s="90"/>
      <c r="P807" s="91"/>
      <c r="Q807" s="91"/>
      <c r="R807" s="91"/>
      <c r="S807" s="41" t="str">
        <f t="shared" si="29"/>
        <v/>
      </c>
    </row>
    <row r="808" spans="1:19" ht="15" customHeight="1" x14ac:dyDescent="0.2">
      <c r="A808" s="9">
        <v>19506</v>
      </c>
      <c r="B808" s="9" t="s">
        <v>124</v>
      </c>
      <c r="C808" s="9" t="s">
        <v>241</v>
      </c>
      <c r="D808" s="23"/>
      <c r="E808" s="42"/>
      <c r="F808" s="43"/>
      <c r="G808" s="42"/>
      <c r="H808" s="43"/>
      <c r="I808" s="25" t="s">
        <v>15</v>
      </c>
      <c r="J808" s="34" t="str">
        <f>IF(E808="","",raw_data!C800)</f>
        <v/>
      </c>
      <c r="K808" s="46"/>
      <c r="L808" s="87"/>
      <c r="M808" s="19" t="str">
        <f>IF(E808="","",raw_data!F800)</f>
        <v/>
      </c>
      <c r="N808" s="20" t="str">
        <f t="shared" si="30"/>
        <v/>
      </c>
      <c r="O808" s="90"/>
      <c r="P808" s="91"/>
      <c r="Q808" s="91"/>
      <c r="R808" s="91"/>
      <c r="S808" s="41" t="str">
        <f t="shared" si="29"/>
        <v/>
      </c>
    </row>
    <row r="809" spans="1:19" ht="15" customHeight="1" x14ac:dyDescent="0.2">
      <c r="A809" s="9">
        <v>19507</v>
      </c>
      <c r="B809" s="9" t="s">
        <v>124</v>
      </c>
      <c r="C809" s="9" t="s">
        <v>79</v>
      </c>
      <c r="D809" s="23"/>
      <c r="E809" s="42"/>
      <c r="F809" s="43"/>
      <c r="G809" s="42"/>
      <c r="H809" s="43"/>
      <c r="I809" s="25" t="s">
        <v>15</v>
      </c>
      <c r="J809" s="34" t="str">
        <f>IF(E809="","",raw_data!C801)</f>
        <v/>
      </c>
      <c r="K809" s="46"/>
      <c r="L809" s="87"/>
      <c r="M809" s="19" t="str">
        <f>IF(E809="","",raw_data!F801)</f>
        <v/>
      </c>
      <c r="N809" s="20" t="str">
        <f t="shared" si="30"/>
        <v/>
      </c>
      <c r="O809" s="90"/>
      <c r="P809" s="91"/>
      <c r="Q809" s="91"/>
      <c r="R809" s="91"/>
      <c r="S809" s="41" t="str">
        <f t="shared" si="29"/>
        <v/>
      </c>
    </row>
    <row r="810" spans="1:19" ht="15" customHeight="1" x14ac:dyDescent="0.2">
      <c r="A810" s="9">
        <v>19508</v>
      </c>
      <c r="B810" s="9" t="s">
        <v>124</v>
      </c>
      <c r="C810" s="9" t="s">
        <v>242</v>
      </c>
      <c r="D810" s="23"/>
      <c r="E810" s="42"/>
      <c r="F810" s="43"/>
      <c r="G810" s="42"/>
      <c r="H810" s="43"/>
      <c r="I810" s="25" t="s">
        <v>15</v>
      </c>
      <c r="J810" s="34" t="str">
        <f>IF(E810="","",raw_data!C802)</f>
        <v/>
      </c>
      <c r="K810" s="46"/>
      <c r="L810" s="87"/>
      <c r="M810" s="19" t="str">
        <f>IF(E810="","",raw_data!F802)</f>
        <v/>
      </c>
      <c r="N810" s="20" t="str">
        <f t="shared" si="30"/>
        <v/>
      </c>
      <c r="O810" s="90"/>
      <c r="P810" s="91"/>
      <c r="Q810" s="91"/>
      <c r="R810" s="91"/>
      <c r="S810" s="41" t="str">
        <f t="shared" si="29"/>
        <v/>
      </c>
    </row>
    <row r="811" spans="1:19" ht="15" customHeight="1" x14ac:dyDescent="0.2">
      <c r="A811" s="9">
        <v>19509</v>
      </c>
      <c r="B811" s="9" t="s">
        <v>124</v>
      </c>
      <c r="C811" s="9" t="s">
        <v>80</v>
      </c>
      <c r="D811" s="23"/>
      <c r="E811" s="42"/>
      <c r="F811" s="43"/>
      <c r="G811" s="42"/>
      <c r="H811" s="43"/>
      <c r="I811" s="25" t="s">
        <v>15</v>
      </c>
      <c r="J811" s="34" t="str">
        <f>IF(E811="","",raw_data!C803)</f>
        <v/>
      </c>
      <c r="K811" s="46"/>
      <c r="L811" s="87"/>
      <c r="M811" s="19" t="str">
        <f>IF(E811="","",raw_data!F803)</f>
        <v/>
      </c>
      <c r="N811" s="20" t="str">
        <f t="shared" si="30"/>
        <v/>
      </c>
      <c r="O811" s="90"/>
      <c r="P811" s="91"/>
      <c r="Q811" s="91"/>
      <c r="R811" s="91"/>
      <c r="S811" s="41" t="str">
        <f t="shared" si="29"/>
        <v/>
      </c>
    </row>
    <row r="812" spans="1:19" ht="15" customHeight="1" x14ac:dyDescent="0.2">
      <c r="A812" s="9">
        <v>19510</v>
      </c>
      <c r="B812" s="9" t="s">
        <v>124</v>
      </c>
      <c r="C812" s="9" t="s">
        <v>81</v>
      </c>
      <c r="D812" s="23"/>
      <c r="E812" s="42"/>
      <c r="F812" s="43"/>
      <c r="G812" s="42"/>
      <c r="H812" s="43"/>
      <c r="I812" s="25" t="s">
        <v>15</v>
      </c>
      <c r="J812" s="34" t="str">
        <f>IF(E812="","",raw_data!C804)</f>
        <v/>
      </c>
      <c r="K812" s="46"/>
      <c r="L812" s="87"/>
      <c r="M812" s="19" t="str">
        <f>IF(E812="","",raw_data!F804)</f>
        <v/>
      </c>
      <c r="N812" s="20" t="str">
        <f t="shared" si="30"/>
        <v/>
      </c>
      <c r="O812" s="90"/>
      <c r="P812" s="91"/>
      <c r="Q812" s="91"/>
      <c r="R812" s="91"/>
      <c r="S812" s="41" t="str">
        <f t="shared" si="29"/>
        <v/>
      </c>
    </row>
    <row r="813" spans="1:19" ht="15" customHeight="1" x14ac:dyDescent="0.2">
      <c r="A813" s="9">
        <v>19511</v>
      </c>
      <c r="B813" s="9" t="s">
        <v>124</v>
      </c>
      <c r="C813" s="9" t="s">
        <v>193</v>
      </c>
      <c r="D813" s="23"/>
      <c r="E813" s="42"/>
      <c r="F813" s="43"/>
      <c r="G813" s="42"/>
      <c r="H813" s="43"/>
      <c r="I813" s="25" t="s">
        <v>15</v>
      </c>
      <c r="J813" s="34" t="str">
        <f>IF(E813="","",raw_data!C805)</f>
        <v/>
      </c>
      <c r="K813" s="46"/>
      <c r="L813" s="87"/>
      <c r="M813" s="19" t="str">
        <f>IF(E813="","",raw_data!F805)</f>
        <v/>
      </c>
      <c r="N813" s="20" t="str">
        <f t="shared" si="30"/>
        <v/>
      </c>
      <c r="O813" s="90"/>
      <c r="P813" s="91"/>
      <c r="Q813" s="91"/>
      <c r="R813" s="91"/>
      <c r="S813" s="41" t="str">
        <f t="shared" si="29"/>
        <v/>
      </c>
    </row>
    <row r="814" spans="1:19" ht="15" customHeight="1" x14ac:dyDescent="0.2">
      <c r="A814" s="9">
        <v>19512</v>
      </c>
      <c r="B814" s="9" t="s">
        <v>124</v>
      </c>
      <c r="C814" s="9" t="s">
        <v>56</v>
      </c>
      <c r="D814" s="23"/>
      <c r="E814" s="42"/>
      <c r="F814" s="43"/>
      <c r="G814" s="42"/>
      <c r="H814" s="43"/>
      <c r="I814" s="25" t="s">
        <v>15</v>
      </c>
      <c r="J814" s="34" t="str">
        <f>IF(E814="","",raw_data!C806)</f>
        <v/>
      </c>
      <c r="K814" s="46"/>
      <c r="L814" s="87"/>
      <c r="M814" s="19" t="str">
        <f>IF(E814="","",raw_data!F806)</f>
        <v/>
      </c>
      <c r="N814" s="20" t="str">
        <f t="shared" si="30"/>
        <v/>
      </c>
      <c r="O814" s="90"/>
      <c r="P814" s="91"/>
      <c r="Q814" s="91"/>
      <c r="R814" s="91"/>
      <c r="S814" s="41" t="str">
        <f t="shared" si="29"/>
        <v/>
      </c>
    </row>
    <row r="815" spans="1:19" ht="15" customHeight="1" x14ac:dyDescent="0.2">
      <c r="A815" s="9">
        <v>20001</v>
      </c>
      <c r="B815" s="9" t="s">
        <v>366</v>
      </c>
      <c r="C815" s="9" t="s">
        <v>367</v>
      </c>
      <c r="D815" s="23"/>
      <c r="E815" s="42"/>
      <c r="F815" s="43"/>
      <c r="G815" s="42"/>
      <c r="H815" s="43"/>
      <c r="I815" s="25" t="s">
        <v>15</v>
      </c>
      <c r="J815" s="34" t="str">
        <f>IF(E815="","",raw_data!C807)</f>
        <v/>
      </c>
      <c r="K815" s="92"/>
      <c r="L815" s="93"/>
      <c r="M815" s="19" t="str">
        <f>IF(E815="","",raw_data!F807)</f>
        <v/>
      </c>
      <c r="N815" s="20" t="str">
        <f t="shared" si="30"/>
        <v/>
      </c>
      <c r="O815" s="92"/>
      <c r="P815" s="94"/>
      <c r="Q815" s="94"/>
      <c r="R815" s="95"/>
      <c r="S815" s="41" t="str">
        <f t="shared" si="29"/>
        <v/>
      </c>
    </row>
    <row r="816" spans="1:19" ht="15" customHeight="1" x14ac:dyDescent="0.2">
      <c r="A816" s="9">
        <v>20002</v>
      </c>
      <c r="B816" s="9" t="s">
        <v>366</v>
      </c>
      <c r="C816" s="9" t="s">
        <v>368</v>
      </c>
      <c r="D816" s="23"/>
      <c r="E816" s="42"/>
      <c r="F816" s="43"/>
      <c r="G816" s="42"/>
      <c r="H816" s="43"/>
      <c r="I816" s="25" t="s">
        <v>15</v>
      </c>
      <c r="J816" s="34" t="str">
        <f>IF(E816="","",raw_data!C808)</f>
        <v/>
      </c>
      <c r="K816" s="92"/>
      <c r="L816" s="93"/>
      <c r="M816" s="19" t="str">
        <f>IF(E816="","",raw_data!F808)</f>
        <v/>
      </c>
      <c r="N816" s="20" t="str">
        <f t="shared" si="30"/>
        <v/>
      </c>
      <c r="O816" s="92"/>
      <c r="P816" s="94"/>
      <c r="Q816" s="94"/>
      <c r="R816" s="95"/>
      <c r="S816" s="41" t="str">
        <f t="shared" si="29"/>
        <v/>
      </c>
    </row>
    <row r="817" spans="1:19" ht="15" customHeight="1" x14ac:dyDescent="0.2">
      <c r="A817" s="9">
        <v>20003</v>
      </c>
      <c r="B817" s="9" t="s">
        <v>366</v>
      </c>
      <c r="C817" s="9" t="s">
        <v>369</v>
      </c>
      <c r="D817" s="23"/>
      <c r="E817" s="42"/>
      <c r="F817" s="43"/>
      <c r="G817" s="42"/>
      <c r="H817" s="43"/>
      <c r="I817" s="25" t="s">
        <v>15</v>
      </c>
      <c r="J817" s="34" t="str">
        <f>IF(E817="","",raw_data!C809)</f>
        <v/>
      </c>
      <c r="K817" s="92"/>
      <c r="L817" s="93"/>
      <c r="M817" s="19" t="str">
        <f>IF(E817="","",raw_data!F809)</f>
        <v/>
      </c>
      <c r="N817" s="20" t="str">
        <f t="shared" si="30"/>
        <v/>
      </c>
      <c r="O817" s="92"/>
      <c r="P817" s="94"/>
      <c r="Q817" s="94"/>
      <c r="R817" s="95"/>
      <c r="S817" s="41" t="str">
        <f t="shared" si="29"/>
        <v/>
      </c>
    </row>
    <row r="818" spans="1:19" ht="15" customHeight="1" x14ac:dyDescent="0.2">
      <c r="A818" s="9">
        <v>20004</v>
      </c>
      <c r="B818" s="9" t="s">
        <v>366</v>
      </c>
      <c r="C818" s="9" t="s">
        <v>9</v>
      </c>
      <c r="D818" s="23"/>
      <c r="E818" s="42"/>
      <c r="F818" s="43"/>
      <c r="G818" s="42"/>
      <c r="H818" s="43"/>
      <c r="I818" s="25" t="s">
        <v>15</v>
      </c>
      <c r="J818" s="34" t="str">
        <f>IF(E818="","",raw_data!C810)</f>
        <v/>
      </c>
      <c r="K818" s="92"/>
      <c r="L818" s="93"/>
      <c r="M818" s="19" t="str">
        <f>IF(E818="","",raw_data!F810)</f>
        <v/>
      </c>
      <c r="N818" s="20" t="str">
        <f t="shared" si="30"/>
        <v/>
      </c>
      <c r="O818" s="92"/>
      <c r="P818" s="94"/>
      <c r="Q818" s="94"/>
      <c r="R818" s="95"/>
      <c r="S818" s="41" t="str">
        <f t="shared" si="29"/>
        <v/>
      </c>
    </row>
    <row r="819" spans="1:19" ht="15" customHeight="1" x14ac:dyDescent="0.2">
      <c r="A819" s="9">
        <v>20005</v>
      </c>
      <c r="B819" s="9" t="s">
        <v>366</v>
      </c>
      <c r="C819" s="9" t="s">
        <v>370</v>
      </c>
      <c r="D819" s="23"/>
      <c r="E819" s="42"/>
      <c r="F819" s="43"/>
      <c r="G819" s="42"/>
      <c r="H819" s="43"/>
      <c r="I819" s="25" t="s">
        <v>15</v>
      </c>
      <c r="J819" s="34" t="str">
        <f>IF(E819="","",raw_data!C811)</f>
        <v/>
      </c>
      <c r="K819" s="92"/>
      <c r="L819" s="93"/>
      <c r="M819" s="19" t="str">
        <f>IF(E819="","",raw_data!F811)</f>
        <v/>
      </c>
      <c r="N819" s="20" t="str">
        <f t="shared" si="30"/>
        <v/>
      </c>
      <c r="O819" s="92"/>
      <c r="P819" s="94"/>
      <c r="Q819" s="94"/>
      <c r="R819" s="95"/>
      <c r="S819" s="41" t="str">
        <f t="shared" si="29"/>
        <v/>
      </c>
    </row>
    <row r="820" spans="1:19" ht="15" customHeight="1" x14ac:dyDescent="0.2">
      <c r="A820" s="9">
        <v>20006</v>
      </c>
      <c r="B820" s="9" t="s">
        <v>366</v>
      </c>
      <c r="C820" s="9" t="s">
        <v>371</v>
      </c>
      <c r="D820" s="23"/>
      <c r="E820" s="42"/>
      <c r="F820" s="43"/>
      <c r="G820" s="42"/>
      <c r="H820" s="43"/>
      <c r="I820" s="25" t="s">
        <v>15</v>
      </c>
      <c r="J820" s="34" t="str">
        <f>IF(E820="","",raw_data!C812)</f>
        <v/>
      </c>
      <c r="K820" s="92"/>
      <c r="L820" s="93"/>
      <c r="M820" s="19" t="str">
        <f>IF(E820="","",raw_data!F812)</f>
        <v/>
      </c>
      <c r="N820" s="20" t="str">
        <f t="shared" si="30"/>
        <v/>
      </c>
      <c r="O820" s="92"/>
      <c r="P820" s="94"/>
      <c r="Q820" s="94"/>
      <c r="R820" s="95"/>
      <c r="S820" s="41" t="str">
        <f t="shared" si="29"/>
        <v/>
      </c>
    </row>
    <row r="821" spans="1:19" ht="15" customHeight="1" x14ac:dyDescent="0.2">
      <c r="A821" s="9">
        <v>20007</v>
      </c>
      <c r="B821" s="9" t="s">
        <v>366</v>
      </c>
      <c r="C821" s="9" t="s">
        <v>372</v>
      </c>
      <c r="D821" s="23"/>
      <c r="E821" s="42"/>
      <c r="F821" s="43"/>
      <c r="G821" s="42"/>
      <c r="H821" s="43"/>
      <c r="I821" s="25" t="s">
        <v>15</v>
      </c>
      <c r="J821" s="34" t="str">
        <f>IF(E821="","",raw_data!C813)</f>
        <v/>
      </c>
      <c r="K821" s="92"/>
      <c r="L821" s="93"/>
      <c r="M821" s="19" t="str">
        <f>IF(E821="","",raw_data!F813)</f>
        <v/>
      </c>
      <c r="N821" s="20" t="str">
        <f t="shared" si="30"/>
        <v/>
      </c>
      <c r="O821" s="92"/>
      <c r="P821" s="94"/>
      <c r="Q821" s="94"/>
      <c r="R821" s="95"/>
      <c r="S821" s="41" t="str">
        <f t="shared" si="29"/>
        <v/>
      </c>
    </row>
    <row r="822" spans="1:19" ht="15" customHeight="1" x14ac:dyDescent="0.2">
      <c r="A822" s="9">
        <v>20008</v>
      </c>
      <c r="B822" s="9" t="s">
        <v>366</v>
      </c>
      <c r="C822" s="9" t="s">
        <v>373</v>
      </c>
      <c r="D822" s="23"/>
      <c r="E822" s="42"/>
      <c r="F822" s="43"/>
      <c r="G822" s="42"/>
      <c r="H822" s="43"/>
      <c r="I822" s="25" t="s">
        <v>15</v>
      </c>
      <c r="J822" s="34" t="str">
        <f>IF(E822="","",raw_data!C814)</f>
        <v/>
      </c>
      <c r="K822" s="92"/>
      <c r="L822" s="93"/>
      <c r="M822" s="19" t="str">
        <f>IF(E822="","",raw_data!F814)</f>
        <v/>
      </c>
      <c r="N822" s="20" t="str">
        <f t="shared" si="30"/>
        <v/>
      </c>
      <c r="O822" s="92"/>
      <c r="P822" s="94"/>
      <c r="Q822" s="94"/>
      <c r="R822" s="95"/>
      <c r="S822" s="41" t="str">
        <f t="shared" si="29"/>
        <v/>
      </c>
    </row>
    <row r="823" spans="1:19" ht="15" customHeight="1" x14ac:dyDescent="0.2">
      <c r="A823" s="9">
        <v>20009</v>
      </c>
      <c r="B823" s="9" t="s">
        <v>366</v>
      </c>
      <c r="C823" s="9" t="s">
        <v>374</v>
      </c>
      <c r="D823" s="23"/>
      <c r="E823" s="42"/>
      <c r="F823" s="43"/>
      <c r="G823" s="42"/>
      <c r="H823" s="43"/>
      <c r="I823" s="25" t="s">
        <v>15</v>
      </c>
      <c r="J823" s="34" t="str">
        <f>IF(E823="","",raw_data!C815)</f>
        <v/>
      </c>
      <c r="K823" s="92"/>
      <c r="L823" s="93"/>
      <c r="M823" s="19" t="str">
        <f>IF(E823="","",raw_data!F815)</f>
        <v/>
      </c>
      <c r="N823" s="20" t="str">
        <f t="shared" si="30"/>
        <v/>
      </c>
      <c r="O823" s="92"/>
      <c r="P823" s="94"/>
      <c r="Q823" s="94"/>
      <c r="R823" s="95"/>
      <c r="S823" s="41" t="str">
        <f t="shared" si="29"/>
        <v/>
      </c>
    </row>
    <row r="824" spans="1:19" ht="15" customHeight="1" x14ac:dyDescent="0.2">
      <c r="A824" s="9">
        <v>20010</v>
      </c>
      <c r="B824" s="9" t="s">
        <v>366</v>
      </c>
      <c r="C824" s="9" t="s">
        <v>375</v>
      </c>
      <c r="D824" s="23"/>
      <c r="E824" s="42"/>
      <c r="F824" s="43"/>
      <c r="G824" s="42"/>
      <c r="H824" s="43"/>
      <c r="I824" s="25" t="s">
        <v>15</v>
      </c>
      <c r="J824" s="34" t="str">
        <f>IF(E824="","",raw_data!C816)</f>
        <v/>
      </c>
      <c r="K824" s="92"/>
      <c r="L824" s="93"/>
      <c r="M824" s="19" t="str">
        <f>IF(E824="","",raw_data!F816)</f>
        <v/>
      </c>
      <c r="N824" s="20" t="str">
        <f t="shared" si="30"/>
        <v/>
      </c>
      <c r="O824" s="92"/>
      <c r="P824" s="94"/>
      <c r="Q824" s="94"/>
      <c r="R824" s="95"/>
      <c r="S824" s="41" t="str">
        <f t="shared" si="29"/>
        <v/>
      </c>
    </row>
    <row r="825" spans="1:19" ht="15" customHeight="1" x14ac:dyDescent="0.2">
      <c r="A825" s="9">
        <v>20011</v>
      </c>
      <c r="B825" s="9" t="s">
        <v>366</v>
      </c>
      <c r="C825" s="9" t="s">
        <v>31</v>
      </c>
      <c r="D825" s="23"/>
      <c r="E825" s="42"/>
      <c r="F825" s="43"/>
      <c r="G825" s="42"/>
      <c r="H825" s="43"/>
      <c r="I825" s="25" t="s">
        <v>15</v>
      </c>
      <c r="J825" s="34" t="str">
        <f>IF(E825="","",raw_data!C817)</f>
        <v/>
      </c>
      <c r="K825" s="92"/>
      <c r="L825" s="93"/>
      <c r="M825" s="19" t="str">
        <f>IF(E825="","",raw_data!F817)</f>
        <v/>
      </c>
      <c r="N825" s="20" t="str">
        <f t="shared" si="30"/>
        <v/>
      </c>
      <c r="O825" s="92"/>
      <c r="P825" s="94"/>
      <c r="Q825" s="94"/>
      <c r="R825" s="95"/>
      <c r="S825" s="41" t="str">
        <f t="shared" si="29"/>
        <v/>
      </c>
    </row>
    <row r="826" spans="1:19" ht="15" customHeight="1" x14ac:dyDescent="0.2">
      <c r="A826" s="9">
        <v>20012</v>
      </c>
      <c r="B826" s="9" t="s">
        <v>366</v>
      </c>
      <c r="C826" s="9" t="s">
        <v>376</v>
      </c>
      <c r="D826" s="23"/>
      <c r="E826" s="42"/>
      <c r="F826" s="43"/>
      <c r="G826" s="42"/>
      <c r="H826" s="43"/>
      <c r="I826" s="25" t="s">
        <v>15</v>
      </c>
      <c r="J826" s="34" t="str">
        <f>IF(E826="","",raw_data!C818)</f>
        <v/>
      </c>
      <c r="K826" s="92"/>
      <c r="L826" s="93"/>
      <c r="M826" s="19" t="str">
        <f>IF(E826="","",raw_data!F818)</f>
        <v/>
      </c>
      <c r="N826" s="20" t="str">
        <f t="shared" si="30"/>
        <v/>
      </c>
      <c r="O826" s="92"/>
      <c r="P826" s="94"/>
      <c r="Q826" s="94"/>
      <c r="R826" s="95"/>
      <c r="S826" s="41" t="str">
        <f t="shared" si="29"/>
        <v/>
      </c>
    </row>
  </sheetData>
  <autoFilter ref="A8:S8" xr:uid="{EE625EF9-60C2-4975-8C33-456006461D96}"/>
  <mergeCells count="1458">
    <mergeCell ref="K815:L826"/>
    <mergeCell ref="O815:R826"/>
    <mergeCell ref="G25:H25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K129:L814"/>
    <mergeCell ref="O129:R814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149:F149"/>
    <mergeCell ref="E150:F150"/>
    <mergeCell ref="E161:F161"/>
    <mergeCell ref="E162:F162"/>
    <mergeCell ref="E169:F169"/>
    <mergeCell ref="E170:F170"/>
    <mergeCell ref="E171:F171"/>
    <mergeCell ref="E172:F172"/>
    <mergeCell ref="E173:F173"/>
    <mergeCell ref="Q6:R6"/>
    <mergeCell ref="E9:F9"/>
    <mergeCell ref="E11:F11"/>
    <mergeCell ref="E12:F12"/>
    <mergeCell ref="E13:F13"/>
    <mergeCell ref="E14:F14"/>
    <mergeCell ref="E15:F15"/>
    <mergeCell ref="D1:I1"/>
    <mergeCell ref="L6:L7"/>
    <mergeCell ref="K6:K7"/>
    <mergeCell ref="Q7:R7"/>
    <mergeCell ref="O7:P7"/>
    <mergeCell ref="J6:J7"/>
    <mergeCell ref="O6:P6"/>
    <mergeCell ref="E6:F6"/>
    <mergeCell ref="E7:F7"/>
    <mergeCell ref="E4:F4"/>
    <mergeCell ref="E5:F5"/>
    <mergeCell ref="M6:N6"/>
    <mergeCell ref="M7:N7"/>
    <mergeCell ref="G4:H4"/>
    <mergeCell ref="G5:H5"/>
    <mergeCell ref="G6:H6"/>
    <mergeCell ref="O9:R27"/>
    <mergeCell ref="E23:F23"/>
    <mergeCell ref="E24:F24"/>
    <mergeCell ref="E26:F26"/>
    <mergeCell ref="E16:F16"/>
    <mergeCell ref="E17:F17"/>
    <mergeCell ref="E18:F18"/>
    <mergeCell ref="E19:F19"/>
    <mergeCell ref="E20:F20"/>
    <mergeCell ref="E21:F21"/>
    <mergeCell ref="E136:F136"/>
    <mergeCell ref="E137:F137"/>
    <mergeCell ref="E138:F138"/>
    <mergeCell ref="E139:F139"/>
    <mergeCell ref="E140:F140"/>
    <mergeCell ref="E141:F141"/>
    <mergeCell ref="E143:F143"/>
    <mergeCell ref="E144:F144"/>
    <mergeCell ref="E145:F145"/>
    <mergeCell ref="E146:F146"/>
    <mergeCell ref="E147:F147"/>
    <mergeCell ref="E148:F148"/>
    <mergeCell ref="E157:F157"/>
    <mergeCell ref="E158:F158"/>
    <mergeCell ref="E159:F159"/>
    <mergeCell ref="E160:F160"/>
    <mergeCell ref="E151:F151"/>
    <mergeCell ref="E152:F152"/>
    <mergeCell ref="E153:F153"/>
    <mergeCell ref="E154:F154"/>
    <mergeCell ref="E155:F155"/>
    <mergeCell ref="E156:F156"/>
    <mergeCell ref="E174:F174"/>
    <mergeCell ref="E163:F163"/>
    <mergeCell ref="E164:F164"/>
    <mergeCell ref="E165:F165"/>
    <mergeCell ref="E166:F166"/>
    <mergeCell ref="E167:F167"/>
    <mergeCell ref="E168:F168"/>
    <mergeCell ref="E181:F181"/>
    <mergeCell ref="E182:F182"/>
    <mergeCell ref="E183:F183"/>
    <mergeCell ref="E184:F184"/>
    <mergeCell ref="E185:F185"/>
    <mergeCell ref="E186:F186"/>
    <mergeCell ref="E175:F175"/>
    <mergeCell ref="E176:F176"/>
    <mergeCell ref="E177:F177"/>
    <mergeCell ref="E178:F178"/>
    <mergeCell ref="E179:F179"/>
    <mergeCell ref="E180:F180"/>
    <mergeCell ref="E195:F195"/>
    <mergeCell ref="E196:F196"/>
    <mergeCell ref="E197:F197"/>
    <mergeCell ref="E198:F198"/>
    <mergeCell ref="E199:F199"/>
    <mergeCell ref="E200:F200"/>
    <mergeCell ref="E187:F187"/>
    <mergeCell ref="E188:F188"/>
    <mergeCell ref="E190:F190"/>
    <mergeCell ref="E191:F191"/>
    <mergeCell ref="E192:F192"/>
    <mergeCell ref="E193:F193"/>
    <mergeCell ref="E208:F208"/>
    <mergeCell ref="E209:F209"/>
    <mergeCell ref="E210:F210"/>
    <mergeCell ref="E211:F211"/>
    <mergeCell ref="E212:F212"/>
    <mergeCell ref="E213:F213"/>
    <mergeCell ref="E201:F201"/>
    <mergeCell ref="E202:F202"/>
    <mergeCell ref="E203:F203"/>
    <mergeCell ref="E204:F204"/>
    <mergeCell ref="E205:F205"/>
    <mergeCell ref="E206:F206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32:F232"/>
    <mergeCell ref="E233:F233"/>
    <mergeCell ref="E234:F234"/>
    <mergeCell ref="E235:F235"/>
    <mergeCell ref="E226:F226"/>
    <mergeCell ref="E227:F227"/>
    <mergeCell ref="E228:F228"/>
    <mergeCell ref="E229:F229"/>
    <mergeCell ref="E230:F230"/>
    <mergeCell ref="E231:F231"/>
    <mergeCell ref="G7:H7"/>
    <mergeCell ref="E27:F27"/>
    <mergeCell ref="E129:F129"/>
    <mergeCell ref="E131:F131"/>
    <mergeCell ref="E132:F132"/>
    <mergeCell ref="E133:F133"/>
    <mergeCell ref="E134:F134"/>
    <mergeCell ref="E135:F135"/>
    <mergeCell ref="G9:H9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E22:F22"/>
    <mergeCell ref="G26:H26"/>
    <mergeCell ref="G27:H27"/>
    <mergeCell ref="G129:H129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90:H190"/>
    <mergeCell ref="G191:H191"/>
    <mergeCell ref="G192:H192"/>
    <mergeCell ref="G193:H193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80:H780"/>
    <mergeCell ref="G797:H797"/>
    <mergeCell ref="G798:H798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808:H808"/>
    <mergeCell ref="G809:H80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820:H820"/>
    <mergeCell ref="E821:F821"/>
    <mergeCell ref="G821:H821"/>
    <mergeCell ref="E822:F822"/>
    <mergeCell ref="G822:H822"/>
    <mergeCell ref="E823:F823"/>
    <mergeCell ref="G823:H823"/>
    <mergeCell ref="G810:H810"/>
    <mergeCell ref="G811:H811"/>
    <mergeCell ref="G812:H812"/>
    <mergeCell ref="G813:H813"/>
    <mergeCell ref="G814:H814"/>
    <mergeCell ref="K9:L27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790:H790"/>
    <mergeCell ref="G791:H791"/>
    <mergeCell ref="G792:H792"/>
    <mergeCell ref="G793:H793"/>
    <mergeCell ref="G794:H794"/>
    <mergeCell ref="G795:H795"/>
    <mergeCell ref="G796:H796"/>
    <mergeCell ref="G777:H777"/>
    <mergeCell ref="G778:H778"/>
    <mergeCell ref="G779:H779"/>
    <mergeCell ref="E824:F824"/>
    <mergeCell ref="G824:H824"/>
    <mergeCell ref="E825:F825"/>
    <mergeCell ref="G825:H825"/>
    <mergeCell ref="E826:F826"/>
    <mergeCell ref="G826:H826"/>
    <mergeCell ref="E10:F10"/>
    <mergeCell ref="G10:H10"/>
    <mergeCell ref="E25:F25"/>
    <mergeCell ref="E130:F130"/>
    <mergeCell ref="E142:F142"/>
    <mergeCell ref="G130:H130"/>
    <mergeCell ref="G142:H142"/>
    <mergeCell ref="E189:F189"/>
    <mergeCell ref="E194:F194"/>
    <mergeCell ref="E207:F207"/>
    <mergeCell ref="G189:H189"/>
    <mergeCell ref="G194:H194"/>
    <mergeCell ref="G207:H207"/>
    <mergeCell ref="E248:F248"/>
    <mergeCell ref="G248:H248"/>
    <mergeCell ref="E815:F815"/>
    <mergeCell ref="G815:H815"/>
    <mergeCell ref="E816:F816"/>
    <mergeCell ref="G816:H816"/>
    <mergeCell ref="E817:F817"/>
    <mergeCell ref="G817:H817"/>
    <mergeCell ref="E818:F818"/>
    <mergeCell ref="G818:H818"/>
    <mergeCell ref="E819:F819"/>
    <mergeCell ref="G819:H819"/>
    <mergeCell ref="E820:F820"/>
  </mergeCells>
  <conditionalFormatting sqref="E9:F826">
    <cfRule type="expression" dxfId="11" priority="3">
      <formula>E9&lt;&gt;""</formula>
    </cfRule>
  </conditionalFormatting>
  <conditionalFormatting sqref="G9:H826">
    <cfRule type="containsText" dxfId="10" priority="8" operator="containsText" text="Fehler">
      <formula>NOT(ISERROR(SEARCH("Fehler",G9)))</formula>
    </cfRule>
    <cfRule type="containsText" dxfId="9" priority="9" operator="containsText" text="Warnung">
      <formula>NOT(ISERROR(SEARCH("Warnung",G9)))</formula>
    </cfRule>
  </conditionalFormatting>
  <conditionalFormatting sqref="S9:S826">
    <cfRule type="containsText" dxfId="8" priority="5" operator="containsText" text="erfüllt">
      <formula>NOT(ISERROR(SEARCH("erfüllt",S9)))</formula>
    </cfRule>
    <cfRule type="containsText" dxfId="7" priority="6" operator="containsText" text="mit Warnung">
      <formula>NOT(ISERROR(SEARCH("mit Warnung",S9)))</formula>
    </cfRule>
    <cfRule type="containsText" dxfId="6" priority="7" operator="containsText" text="mit Fehler">
      <formula>NOT(ISERROR(SEARCH("mit Fehler",S9)))</formula>
    </cfRule>
  </conditionalFormatting>
  <dataValidations count="2">
    <dataValidation type="list" allowBlank="1" showInputMessage="1" showErrorMessage="1" sqref="H28:H128 G9:G826" xr:uid="{D895DEDA-E168-47DE-8BDF-17607EACD507}">
      <formula1>"Fehler,Warnung"</formula1>
    </dataValidation>
    <dataValidation type="list" allowBlank="1" showInputMessage="1" showErrorMessage="1" sqref="S9:S826" xr:uid="{03B7F23F-B2C8-4596-A649-7C0438FA9089}">
      <formula1>"erfüllt,mit Fehler,mit Warnung"</formula1>
    </dataValidation>
  </dataValidations>
  <pageMargins left="0.7" right="0.7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E76E-575D-4399-8169-4DEC2A5C84BE}">
  <dimension ref="A1:AE826"/>
  <sheetViews>
    <sheetView zoomScaleNormal="100" workbookViewId="0">
      <pane ySplit="8" topLeftCell="A9" activePane="bottomLeft" state="frozen"/>
      <selection pane="bottomLeft" activeCell="C50" sqref="C50"/>
    </sheetView>
  </sheetViews>
  <sheetFormatPr defaultColWidth="14.42578125" defaultRowHeight="15" customHeight="1" x14ac:dyDescent="0.2"/>
  <cols>
    <col min="1" max="1" width="14.5703125" customWidth="1"/>
    <col min="2" max="2" width="30.85546875" bestFit="1" customWidth="1"/>
    <col min="3" max="3" width="54.7109375" bestFit="1" customWidth="1"/>
    <col min="4" max="4" width="15.42578125" customWidth="1"/>
    <col min="5" max="8" width="12" customWidth="1"/>
    <col min="9" max="9" width="22.28515625" customWidth="1"/>
    <col min="10" max="18" width="13.5703125" customWidth="1"/>
    <col min="19" max="19" width="23.5703125" customWidth="1"/>
    <col min="20" max="31" width="11.140625" customWidth="1"/>
  </cols>
  <sheetData>
    <row r="1" spans="1:31" x14ac:dyDescent="0.2">
      <c r="A1" s="2" t="s">
        <v>152</v>
      </c>
      <c r="C1" s="3"/>
      <c r="D1" s="58" t="s">
        <v>149</v>
      </c>
      <c r="E1" s="58"/>
      <c r="F1" s="58"/>
      <c r="G1" s="58"/>
      <c r="H1" s="58"/>
      <c r="I1" s="5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75" customHeight="1" x14ac:dyDescent="0.2">
      <c r="A2" s="1"/>
      <c r="B2" s="6"/>
      <c r="C2" s="4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2.75" customHeight="1" thickBot="1" x14ac:dyDescent="0.25">
      <c r="A3" s="4"/>
      <c r="B3" s="11"/>
      <c r="C3" s="4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2.75" customHeight="1" x14ac:dyDescent="0.2">
      <c r="A4" s="4"/>
      <c r="B4" s="11"/>
      <c r="C4" s="4"/>
      <c r="D4" s="10"/>
      <c r="E4" s="98" t="s">
        <v>434</v>
      </c>
      <c r="F4" s="99"/>
      <c r="G4" s="79"/>
      <c r="H4" s="8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2.75" customHeight="1" thickBot="1" x14ac:dyDescent="0.25">
      <c r="A5" s="4"/>
      <c r="B5" s="11"/>
      <c r="C5" s="4"/>
      <c r="D5" s="10"/>
      <c r="E5" s="100" t="s">
        <v>435</v>
      </c>
      <c r="F5" s="101"/>
      <c r="G5" s="81" t="s">
        <v>151</v>
      </c>
      <c r="H5" s="8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2.75" customHeight="1" x14ac:dyDescent="0.2">
      <c r="A6" s="4"/>
      <c r="B6" s="11"/>
      <c r="C6" s="4"/>
      <c r="D6" s="10"/>
      <c r="E6" s="102" t="s">
        <v>137</v>
      </c>
      <c r="F6" s="103"/>
      <c r="G6" s="83" t="s">
        <v>154</v>
      </c>
      <c r="H6" s="84"/>
      <c r="I6" s="4"/>
      <c r="J6" s="64" t="s">
        <v>140</v>
      </c>
      <c r="K6" s="59" t="s">
        <v>147</v>
      </c>
      <c r="L6" s="59" t="s">
        <v>148</v>
      </c>
      <c r="M6" s="75" t="s">
        <v>436</v>
      </c>
      <c r="N6" s="76"/>
      <c r="O6" s="66" t="s">
        <v>436</v>
      </c>
      <c r="P6" s="63"/>
      <c r="Q6" s="54" t="s">
        <v>436</v>
      </c>
      <c r="R6" s="55"/>
      <c r="S6" s="38" t="s">
        <v>156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2.75" customHeight="1" thickBot="1" x14ac:dyDescent="0.25">
      <c r="A7" s="4"/>
      <c r="B7" s="3"/>
      <c r="C7" s="4"/>
      <c r="D7" s="10"/>
      <c r="E7" s="96"/>
      <c r="F7" s="97"/>
      <c r="G7" s="50"/>
      <c r="H7" s="51"/>
      <c r="I7" s="4"/>
      <c r="J7" s="65"/>
      <c r="K7" s="60"/>
      <c r="L7" s="60"/>
      <c r="M7" s="77" t="s">
        <v>150</v>
      </c>
      <c r="N7" s="78"/>
      <c r="O7" s="62" t="s">
        <v>141</v>
      </c>
      <c r="P7" s="63"/>
      <c r="Q7" s="61" t="s">
        <v>144</v>
      </c>
      <c r="R7" s="55"/>
      <c r="S7" s="39" t="s">
        <v>157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8.5" customHeight="1" thickBot="1" x14ac:dyDescent="0.25">
      <c r="A8" s="12" t="s">
        <v>136</v>
      </c>
      <c r="B8" s="7" t="s">
        <v>0</v>
      </c>
      <c r="C8" s="7" t="s">
        <v>1</v>
      </c>
      <c r="D8" s="13" t="s">
        <v>2</v>
      </c>
      <c r="E8" s="14" t="s">
        <v>138</v>
      </c>
      <c r="F8" s="15" t="s">
        <v>139</v>
      </c>
      <c r="G8" s="32" t="s">
        <v>145</v>
      </c>
      <c r="H8" s="33" t="s">
        <v>153</v>
      </c>
      <c r="I8" s="16" t="s">
        <v>3</v>
      </c>
      <c r="J8" s="35" t="s">
        <v>142</v>
      </c>
      <c r="K8" s="26" t="s">
        <v>142</v>
      </c>
      <c r="L8" s="26" t="s">
        <v>142</v>
      </c>
      <c r="M8" s="29" t="s">
        <v>142</v>
      </c>
      <c r="N8" s="29" t="s">
        <v>143</v>
      </c>
      <c r="O8" s="17" t="s">
        <v>142</v>
      </c>
      <c r="P8" s="17" t="s">
        <v>143</v>
      </c>
      <c r="Q8" s="18" t="s">
        <v>142</v>
      </c>
      <c r="R8" s="36" t="s">
        <v>143</v>
      </c>
      <c r="S8" s="40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2.75" x14ac:dyDescent="0.2">
      <c r="A9" s="4" t="s">
        <v>380</v>
      </c>
      <c r="B9" s="4" t="s">
        <v>4</v>
      </c>
      <c r="C9" s="4" t="s">
        <v>5</v>
      </c>
      <c r="D9" s="8"/>
      <c r="E9" s="56">
        <v>0.95</v>
      </c>
      <c r="F9" s="57"/>
      <c r="G9" s="52" t="s">
        <v>387</v>
      </c>
      <c r="H9" s="53"/>
      <c r="I9" s="24" t="s">
        <v>4</v>
      </c>
      <c r="J9" s="34">
        <f>IF(E9="","",raw_data!C1)</f>
        <v>0</v>
      </c>
      <c r="K9" s="44" t="str">
        <f>IF(E27="","",raw_data!F17)</f>
        <v/>
      </c>
      <c r="L9" s="45"/>
      <c r="M9" s="21">
        <f>IF(E9="","",raw_data!F1)</f>
        <v>0</v>
      </c>
      <c r="N9" s="22" t="str">
        <f>IF(E9="","",IFERROR(M9/J9,"-"))</f>
        <v>-</v>
      </c>
      <c r="O9" s="45" t="str">
        <f>IF(E27="","",raw_data!G17)</f>
        <v/>
      </c>
      <c r="P9" s="45"/>
      <c r="Q9" s="45"/>
      <c r="R9" s="45"/>
      <c r="S9" s="41" t="str">
        <f>IF(E9="","",IF(OR(NOT(ISNUMBER(N9)),N9&lt;=(1-E9)),"erfüllt",IF(G9="Fehler","mit Fehler",IF(G9="Warnung","mit Warnung",""))))</f>
        <v>erfüllt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2.75" x14ac:dyDescent="0.2">
      <c r="A10" s="4" t="s">
        <v>379</v>
      </c>
      <c r="B10" s="4" t="s">
        <v>4</v>
      </c>
      <c r="C10" s="9" t="s">
        <v>5</v>
      </c>
      <c r="D10" s="23" t="s">
        <v>377</v>
      </c>
      <c r="E10" s="42">
        <v>0.5</v>
      </c>
      <c r="F10" s="43"/>
      <c r="G10" s="42" t="s">
        <v>387</v>
      </c>
      <c r="H10" s="43"/>
      <c r="I10" s="25" t="s">
        <v>4</v>
      </c>
      <c r="J10" s="34">
        <f>IF(E10="","",raw_data!C2)</f>
        <v>0</v>
      </c>
      <c r="K10" s="46"/>
      <c r="L10" s="47"/>
      <c r="M10" s="19">
        <f>IF(E10="","",raw_data!F2)</f>
        <v>0</v>
      </c>
      <c r="N10" s="20" t="str">
        <f>IF(E10="","",IFERROR(M10/J10,"-"))</f>
        <v>-</v>
      </c>
      <c r="O10" s="47"/>
      <c r="P10" s="47"/>
      <c r="Q10" s="47"/>
      <c r="R10" s="47"/>
      <c r="S10" s="41" t="str">
        <f t="shared" ref="S10:S73" si="0">IF(E10="","",IF(OR(NOT(ISNUMBER(N10)),N10&lt;=(1-E10)),"erfüllt",IF(G10="Fehler","mit Fehler",IF(G10="Warnung","mit Warnung",""))))</f>
        <v>erfüllt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2.75" x14ac:dyDescent="0.2">
      <c r="A11" s="9">
        <v>10002</v>
      </c>
      <c r="B11" s="9" t="s">
        <v>4</v>
      </c>
      <c r="C11" s="9" t="s">
        <v>6</v>
      </c>
      <c r="D11" s="23"/>
      <c r="E11" s="42">
        <v>1</v>
      </c>
      <c r="F11" s="43"/>
      <c r="G11" s="42" t="s">
        <v>155</v>
      </c>
      <c r="H11" s="43"/>
      <c r="I11" s="25" t="s">
        <v>4</v>
      </c>
      <c r="J11" s="34">
        <f>IF(E11="","",raw_data!C3)</f>
        <v>0</v>
      </c>
      <c r="K11" s="46"/>
      <c r="L11" s="47"/>
      <c r="M11" s="19">
        <f>IF(E11="","",raw_data!F3)</f>
        <v>0</v>
      </c>
      <c r="N11" s="20" t="str">
        <f t="shared" ref="N11:N74" si="1">IF(E11="","",IFERROR(M11/J11,"-"))</f>
        <v>-</v>
      </c>
      <c r="O11" s="47"/>
      <c r="P11" s="47"/>
      <c r="Q11" s="47"/>
      <c r="R11" s="47"/>
      <c r="S11" s="41" t="str">
        <f t="shared" si="0"/>
        <v>erfüllt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2.75" x14ac:dyDescent="0.2">
      <c r="A12" s="9">
        <v>10003</v>
      </c>
      <c r="B12" s="9" t="s">
        <v>4</v>
      </c>
      <c r="C12" s="9" t="s">
        <v>160</v>
      </c>
      <c r="D12" s="23"/>
      <c r="E12" s="42">
        <v>1</v>
      </c>
      <c r="F12" s="43"/>
      <c r="G12" s="42" t="s">
        <v>387</v>
      </c>
      <c r="H12" s="43"/>
      <c r="I12" s="25" t="s">
        <v>4</v>
      </c>
      <c r="J12" s="34">
        <f>IF(E12="","",raw_data!C4)</f>
        <v>0</v>
      </c>
      <c r="K12" s="46"/>
      <c r="L12" s="47"/>
      <c r="M12" s="19">
        <f>IF(E12="","",raw_data!F4)</f>
        <v>0</v>
      </c>
      <c r="N12" s="20" t="str">
        <f t="shared" si="1"/>
        <v>-</v>
      </c>
      <c r="O12" s="47"/>
      <c r="P12" s="47"/>
      <c r="Q12" s="47"/>
      <c r="R12" s="47"/>
      <c r="S12" s="41" t="str">
        <f t="shared" si="0"/>
        <v>erfüllt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2.75" x14ac:dyDescent="0.2">
      <c r="A13" s="9">
        <v>10004</v>
      </c>
      <c r="B13" s="9" t="s">
        <v>4</v>
      </c>
      <c r="C13" s="9" t="s">
        <v>161</v>
      </c>
      <c r="D13" s="23"/>
      <c r="E13" s="42">
        <v>1</v>
      </c>
      <c r="F13" s="43"/>
      <c r="G13" s="42" t="s">
        <v>155</v>
      </c>
      <c r="H13" s="43"/>
      <c r="I13" s="25" t="s">
        <v>4</v>
      </c>
      <c r="J13" s="34">
        <f>IF(E13="","",raw_data!C5)</f>
        <v>0</v>
      </c>
      <c r="K13" s="46"/>
      <c r="L13" s="47"/>
      <c r="M13" s="19">
        <f>IF(E13="","",raw_data!F5)</f>
        <v>0</v>
      </c>
      <c r="N13" s="20" t="str">
        <f t="shared" si="1"/>
        <v>-</v>
      </c>
      <c r="O13" s="47"/>
      <c r="P13" s="47"/>
      <c r="Q13" s="47"/>
      <c r="R13" s="47"/>
      <c r="S13" s="41" t="str">
        <f t="shared" si="0"/>
        <v>erfüllt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2.75" x14ac:dyDescent="0.2">
      <c r="A14" s="9">
        <v>10005</v>
      </c>
      <c r="B14" s="9" t="s">
        <v>4</v>
      </c>
      <c r="C14" s="9" t="s">
        <v>7</v>
      </c>
      <c r="D14" s="23"/>
      <c r="E14" s="42">
        <v>1</v>
      </c>
      <c r="F14" s="43"/>
      <c r="G14" s="42" t="s">
        <v>387</v>
      </c>
      <c r="H14" s="43"/>
      <c r="I14" s="25" t="s">
        <v>4</v>
      </c>
      <c r="J14" s="34">
        <f>IF(E14="","",raw_data!C6)</f>
        <v>0</v>
      </c>
      <c r="K14" s="46"/>
      <c r="L14" s="47"/>
      <c r="M14" s="19">
        <f>IF(E14="","",raw_data!F6)</f>
        <v>0</v>
      </c>
      <c r="N14" s="20" t="str">
        <f t="shared" si="1"/>
        <v>-</v>
      </c>
      <c r="O14" s="47"/>
      <c r="P14" s="47"/>
      <c r="Q14" s="47"/>
      <c r="R14" s="47"/>
      <c r="S14" s="41" t="str">
        <f t="shared" si="0"/>
        <v>erfüllt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2.75" x14ac:dyDescent="0.2">
      <c r="A15" s="9">
        <v>10006</v>
      </c>
      <c r="B15" s="9" t="s">
        <v>4</v>
      </c>
      <c r="C15" s="9" t="s">
        <v>8</v>
      </c>
      <c r="D15" s="23"/>
      <c r="E15" s="42">
        <v>1</v>
      </c>
      <c r="F15" s="43"/>
      <c r="G15" s="42" t="s">
        <v>155</v>
      </c>
      <c r="H15" s="43"/>
      <c r="I15" s="25" t="s">
        <v>4</v>
      </c>
      <c r="J15" s="34">
        <f>IF(E15="","",raw_data!C7)</f>
        <v>0</v>
      </c>
      <c r="K15" s="46"/>
      <c r="L15" s="47"/>
      <c r="M15" s="19">
        <f>IF(E15="","",raw_data!F7)</f>
        <v>0</v>
      </c>
      <c r="N15" s="20" t="str">
        <f t="shared" si="1"/>
        <v>-</v>
      </c>
      <c r="O15" s="47"/>
      <c r="P15" s="47"/>
      <c r="Q15" s="47"/>
      <c r="R15" s="47"/>
      <c r="S15" s="41" t="str">
        <f t="shared" si="0"/>
        <v>erfüllt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2.75" x14ac:dyDescent="0.2">
      <c r="A16" s="9">
        <v>10007</v>
      </c>
      <c r="B16" s="9" t="s">
        <v>4</v>
      </c>
      <c r="C16" s="9" t="s">
        <v>162</v>
      </c>
      <c r="D16" s="23"/>
      <c r="E16" s="42"/>
      <c r="F16" s="43"/>
      <c r="G16" s="42"/>
      <c r="H16" s="43"/>
      <c r="I16" s="25" t="s">
        <v>4</v>
      </c>
      <c r="J16" s="34" t="str">
        <f>IF(E16="","",raw_data!C8)</f>
        <v/>
      </c>
      <c r="K16" s="46"/>
      <c r="L16" s="47"/>
      <c r="M16" s="19" t="str">
        <f>IF(E16="","",raw_data!F8)</f>
        <v/>
      </c>
      <c r="N16" s="20" t="str">
        <f t="shared" si="1"/>
        <v/>
      </c>
      <c r="O16" s="47"/>
      <c r="P16" s="47"/>
      <c r="Q16" s="47"/>
      <c r="R16" s="47"/>
      <c r="S16" s="41" t="str">
        <f t="shared" si="0"/>
        <v/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2.75" x14ac:dyDescent="0.2">
      <c r="A17" s="9">
        <v>10008</v>
      </c>
      <c r="B17" s="9" t="s">
        <v>4</v>
      </c>
      <c r="C17" s="9" t="s">
        <v>163</v>
      </c>
      <c r="D17" s="23"/>
      <c r="E17" s="42"/>
      <c r="F17" s="43"/>
      <c r="G17" s="42"/>
      <c r="H17" s="43"/>
      <c r="I17" s="25" t="s">
        <v>4</v>
      </c>
      <c r="J17" s="34" t="str">
        <f>IF(E17="","",raw_data!C9)</f>
        <v/>
      </c>
      <c r="K17" s="46"/>
      <c r="L17" s="47"/>
      <c r="M17" s="19" t="str">
        <f>IF(E17="","",raw_data!F9)</f>
        <v/>
      </c>
      <c r="N17" s="20" t="str">
        <f t="shared" si="1"/>
        <v/>
      </c>
      <c r="O17" s="47"/>
      <c r="P17" s="47"/>
      <c r="Q17" s="47"/>
      <c r="R17" s="47"/>
      <c r="S17" s="41" t="str">
        <f t="shared" si="0"/>
        <v/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2.75" x14ac:dyDescent="0.2">
      <c r="A18" s="9">
        <v>10009</v>
      </c>
      <c r="B18" s="9" t="s">
        <v>4</v>
      </c>
      <c r="C18" s="9" t="s">
        <v>164</v>
      </c>
      <c r="D18" s="23"/>
      <c r="E18" s="42"/>
      <c r="F18" s="43"/>
      <c r="G18" s="42"/>
      <c r="H18" s="43"/>
      <c r="I18" s="25" t="s">
        <v>4</v>
      </c>
      <c r="J18" s="34" t="str">
        <f>IF(E18="","",raw_data!C10)</f>
        <v/>
      </c>
      <c r="K18" s="46"/>
      <c r="L18" s="47"/>
      <c r="M18" s="19" t="str">
        <f>IF(E18="","",raw_data!F10)</f>
        <v/>
      </c>
      <c r="N18" s="20" t="str">
        <f t="shared" si="1"/>
        <v/>
      </c>
      <c r="O18" s="47"/>
      <c r="P18" s="47"/>
      <c r="Q18" s="47"/>
      <c r="R18" s="47"/>
      <c r="S18" s="41" t="str">
        <f t="shared" si="0"/>
        <v/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2.75" x14ac:dyDescent="0.2">
      <c r="A19" s="9">
        <v>10010</v>
      </c>
      <c r="B19" s="9" t="s">
        <v>4</v>
      </c>
      <c r="C19" s="9" t="s">
        <v>165</v>
      </c>
      <c r="D19" s="23"/>
      <c r="E19" s="42"/>
      <c r="F19" s="43"/>
      <c r="G19" s="42"/>
      <c r="H19" s="43"/>
      <c r="I19" s="25" t="s">
        <v>4</v>
      </c>
      <c r="J19" s="34" t="str">
        <f>IF(E19="","",raw_data!C11)</f>
        <v/>
      </c>
      <c r="K19" s="46"/>
      <c r="L19" s="47"/>
      <c r="M19" s="19" t="str">
        <f>IF(E19="","",raw_data!F11)</f>
        <v/>
      </c>
      <c r="N19" s="20" t="str">
        <f t="shared" si="1"/>
        <v/>
      </c>
      <c r="O19" s="47"/>
      <c r="P19" s="47"/>
      <c r="Q19" s="47"/>
      <c r="R19" s="47"/>
      <c r="S19" s="41" t="str">
        <f t="shared" si="0"/>
        <v/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2.75" x14ac:dyDescent="0.2">
      <c r="A20" s="9">
        <v>10011</v>
      </c>
      <c r="B20" s="9" t="s">
        <v>4</v>
      </c>
      <c r="C20" s="9" t="s">
        <v>166</v>
      </c>
      <c r="D20" s="23"/>
      <c r="E20" s="42"/>
      <c r="F20" s="43"/>
      <c r="G20" s="42"/>
      <c r="H20" s="43"/>
      <c r="I20" s="25" t="s">
        <v>4</v>
      </c>
      <c r="J20" s="34" t="str">
        <f>IF(E20="","",raw_data!C12)</f>
        <v/>
      </c>
      <c r="K20" s="46"/>
      <c r="L20" s="47"/>
      <c r="M20" s="19" t="str">
        <f>IF(E20="","",raw_data!F12)</f>
        <v/>
      </c>
      <c r="N20" s="20" t="str">
        <f t="shared" si="1"/>
        <v/>
      </c>
      <c r="O20" s="47"/>
      <c r="P20" s="47"/>
      <c r="Q20" s="47"/>
      <c r="R20" s="47"/>
      <c r="S20" s="41" t="str">
        <f t="shared" si="0"/>
        <v/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.75" x14ac:dyDescent="0.2">
      <c r="A21" s="9">
        <v>10012</v>
      </c>
      <c r="B21" s="9" t="s">
        <v>4</v>
      </c>
      <c r="C21" s="9" t="s">
        <v>167</v>
      </c>
      <c r="D21" s="23"/>
      <c r="E21" s="42"/>
      <c r="F21" s="43"/>
      <c r="G21" s="42"/>
      <c r="H21" s="43"/>
      <c r="I21" s="25" t="s">
        <v>4</v>
      </c>
      <c r="J21" s="34" t="str">
        <f>IF(E21="","",raw_data!C13)</f>
        <v/>
      </c>
      <c r="K21" s="46"/>
      <c r="L21" s="47"/>
      <c r="M21" s="19" t="str">
        <f>IF(E21="","",raw_data!F13)</f>
        <v/>
      </c>
      <c r="N21" s="20" t="str">
        <f t="shared" si="1"/>
        <v/>
      </c>
      <c r="O21" s="47"/>
      <c r="P21" s="47"/>
      <c r="Q21" s="47"/>
      <c r="R21" s="47"/>
      <c r="S21" s="41" t="str">
        <f t="shared" si="0"/>
        <v/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2.75" x14ac:dyDescent="0.2">
      <c r="A22" s="9">
        <v>10013</v>
      </c>
      <c r="B22" s="9" t="s">
        <v>4</v>
      </c>
      <c r="C22" s="9" t="s">
        <v>168</v>
      </c>
      <c r="D22" s="23"/>
      <c r="E22" s="42"/>
      <c r="F22" s="43"/>
      <c r="G22" s="42"/>
      <c r="H22" s="43"/>
      <c r="I22" s="25" t="s">
        <v>4</v>
      </c>
      <c r="J22" s="34" t="str">
        <f>IF(E22="","",raw_data!C14)</f>
        <v/>
      </c>
      <c r="K22" s="46"/>
      <c r="L22" s="47"/>
      <c r="M22" s="19" t="str">
        <f>IF(E22="","",raw_data!F14)</f>
        <v/>
      </c>
      <c r="N22" s="20" t="str">
        <f t="shared" si="1"/>
        <v/>
      </c>
      <c r="O22" s="47"/>
      <c r="P22" s="47"/>
      <c r="Q22" s="47"/>
      <c r="R22" s="47"/>
      <c r="S22" s="41" t="str">
        <f t="shared" si="0"/>
        <v/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2.75" x14ac:dyDescent="0.2">
      <c r="A23" s="9">
        <v>10014</v>
      </c>
      <c r="B23" s="9" t="s">
        <v>4</v>
      </c>
      <c r="C23" s="9" t="s">
        <v>9</v>
      </c>
      <c r="D23" s="23"/>
      <c r="E23" s="42">
        <v>1</v>
      </c>
      <c r="F23" s="43"/>
      <c r="G23" s="42" t="s">
        <v>155</v>
      </c>
      <c r="H23" s="43"/>
      <c r="I23" s="25" t="s">
        <v>4</v>
      </c>
      <c r="J23" s="34">
        <f>IF(E23="","",raw_data!C15)</f>
        <v>0</v>
      </c>
      <c r="K23" s="46"/>
      <c r="L23" s="47"/>
      <c r="M23" s="19">
        <f>IF(E23="","",raw_data!F15)</f>
        <v>0</v>
      </c>
      <c r="N23" s="20" t="str">
        <f t="shared" si="1"/>
        <v>-</v>
      </c>
      <c r="O23" s="47"/>
      <c r="P23" s="47"/>
      <c r="Q23" s="47"/>
      <c r="R23" s="47"/>
      <c r="S23" s="41" t="str">
        <f t="shared" si="0"/>
        <v>erfüllt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2.75" x14ac:dyDescent="0.2">
      <c r="A24" s="9" t="s">
        <v>381</v>
      </c>
      <c r="B24" s="9" t="s">
        <v>4</v>
      </c>
      <c r="C24" s="9" t="s">
        <v>10</v>
      </c>
      <c r="D24" s="23"/>
      <c r="E24" s="42">
        <v>1</v>
      </c>
      <c r="F24" s="43"/>
      <c r="G24" s="42" t="s">
        <v>387</v>
      </c>
      <c r="H24" s="43"/>
      <c r="I24" s="25" t="s">
        <v>4</v>
      </c>
      <c r="J24" s="34">
        <f>IF(E24="","",raw_data!C16)</f>
        <v>0</v>
      </c>
      <c r="K24" s="46"/>
      <c r="L24" s="47"/>
      <c r="M24" s="19">
        <f>IF(E24="","",raw_data!F16)</f>
        <v>0</v>
      </c>
      <c r="N24" s="20" t="str">
        <f t="shared" si="1"/>
        <v>-</v>
      </c>
      <c r="O24" s="47"/>
      <c r="P24" s="47"/>
      <c r="Q24" s="47"/>
      <c r="R24" s="47"/>
      <c r="S24" s="41" t="str">
        <f t="shared" si="0"/>
        <v>erfüllt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2.75" x14ac:dyDescent="0.2">
      <c r="A25" s="9" t="s">
        <v>382</v>
      </c>
      <c r="B25" s="9" t="s">
        <v>4</v>
      </c>
      <c r="C25" s="9" t="s">
        <v>10</v>
      </c>
      <c r="D25" s="23" t="s">
        <v>377</v>
      </c>
      <c r="E25" s="42">
        <v>0.5</v>
      </c>
      <c r="F25" s="43"/>
      <c r="G25" s="42" t="s">
        <v>387</v>
      </c>
      <c r="H25" s="43"/>
      <c r="I25" s="25" t="s">
        <v>4</v>
      </c>
      <c r="J25" s="34">
        <f>IF(E25="","",raw_data!C17)</f>
        <v>0</v>
      </c>
      <c r="K25" s="46"/>
      <c r="L25" s="47"/>
      <c r="M25" s="19">
        <f>IF(E25="","",raw_data!F17)</f>
        <v>0</v>
      </c>
      <c r="N25" s="20" t="str">
        <f t="shared" si="1"/>
        <v>-</v>
      </c>
      <c r="O25" s="47"/>
      <c r="P25" s="47"/>
      <c r="Q25" s="47"/>
      <c r="R25" s="47"/>
      <c r="S25" s="41" t="str">
        <f t="shared" si="0"/>
        <v>erfüllt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2.75" x14ac:dyDescent="0.2">
      <c r="A26" s="9">
        <v>10016</v>
      </c>
      <c r="B26" s="9" t="s">
        <v>4</v>
      </c>
      <c r="C26" s="9" t="s">
        <v>11</v>
      </c>
      <c r="D26" s="23"/>
      <c r="E26" s="42"/>
      <c r="F26" s="43"/>
      <c r="G26" s="42"/>
      <c r="H26" s="43"/>
      <c r="I26" s="25" t="s">
        <v>4</v>
      </c>
      <c r="J26" s="34" t="str">
        <f>IF(E26="","",raw_data!C18)</f>
        <v/>
      </c>
      <c r="K26" s="46"/>
      <c r="L26" s="47"/>
      <c r="M26" s="19" t="str">
        <f>IF(E26="","",raw_data!F18)</f>
        <v/>
      </c>
      <c r="N26" s="20" t="str">
        <f t="shared" si="1"/>
        <v/>
      </c>
      <c r="O26" s="47"/>
      <c r="P26" s="47"/>
      <c r="Q26" s="47"/>
      <c r="R26" s="47"/>
      <c r="S26" s="41" t="str">
        <f t="shared" si="0"/>
        <v/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2.75" customHeight="1" x14ac:dyDescent="0.2">
      <c r="A27" s="9">
        <v>10017</v>
      </c>
      <c r="B27" s="9" t="s">
        <v>4</v>
      </c>
      <c r="C27" s="9" t="s">
        <v>12</v>
      </c>
      <c r="D27" s="23"/>
      <c r="E27" s="42"/>
      <c r="F27" s="43"/>
      <c r="G27" s="42"/>
      <c r="H27" s="43"/>
      <c r="I27" s="25" t="s">
        <v>4</v>
      </c>
      <c r="J27" s="34" t="str">
        <f>IF(E27="","",raw_data!C19)</f>
        <v/>
      </c>
      <c r="K27" s="48"/>
      <c r="L27" s="49"/>
      <c r="M27" s="19" t="str">
        <f>IF(E27="","",raw_data!F19)</f>
        <v/>
      </c>
      <c r="N27" s="20" t="str">
        <f t="shared" si="1"/>
        <v/>
      </c>
      <c r="O27" s="49"/>
      <c r="P27" s="49"/>
      <c r="Q27" s="49"/>
      <c r="R27" s="49"/>
      <c r="S27" s="41" t="str">
        <f t="shared" si="0"/>
        <v/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2.75" customHeight="1" x14ac:dyDescent="0.2">
      <c r="A28" s="9">
        <v>11001</v>
      </c>
      <c r="B28" s="9" t="s">
        <v>32</v>
      </c>
      <c r="C28" s="9" t="s">
        <v>169</v>
      </c>
      <c r="D28" s="23"/>
      <c r="E28" s="28">
        <v>1</v>
      </c>
      <c r="F28" s="27">
        <v>1</v>
      </c>
      <c r="G28" s="30" t="s">
        <v>155</v>
      </c>
      <c r="H28" s="27" t="s">
        <v>155</v>
      </c>
      <c r="I28" s="25" t="s">
        <v>15</v>
      </c>
      <c r="J28" s="34">
        <f>IF(E28="","",raw_data!C20)</f>
        <v>0</v>
      </c>
      <c r="K28" s="19">
        <f>IF(E28="","",raw_data!D20)</f>
        <v>0</v>
      </c>
      <c r="L28" s="19">
        <f>IF(F28="","",raw_data!E20)</f>
        <v>0</v>
      </c>
      <c r="M28" s="19">
        <f>IF(E28="","",raw_data!F20)</f>
        <v>0</v>
      </c>
      <c r="N28" s="20" t="str">
        <f t="shared" si="1"/>
        <v>-</v>
      </c>
      <c r="O28" s="19">
        <f>IF(E28="","",raw_data!G20)</f>
        <v>0</v>
      </c>
      <c r="P28" s="20" t="str">
        <f>IF(E28="","",IFERROR(O28/K28,"-"))</f>
        <v>-</v>
      </c>
      <c r="Q28" s="19">
        <f>IF(F28="","",raw_data!H20)</f>
        <v>0</v>
      </c>
      <c r="R28" s="37" t="str">
        <f t="shared" ref="R28" si="2">IF(F28="","",IFERROR(Q28/L28,"-"))</f>
        <v>-</v>
      </c>
      <c r="S28" s="41" t="str">
        <f t="shared" si="0"/>
        <v>erfüllt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.75" customHeight="1" x14ac:dyDescent="0.2">
      <c r="A29" s="9" t="s">
        <v>384</v>
      </c>
      <c r="B29" s="9" t="s">
        <v>32</v>
      </c>
      <c r="C29" s="9" t="s">
        <v>31</v>
      </c>
      <c r="D29" s="23"/>
      <c r="E29" s="28">
        <v>1</v>
      </c>
      <c r="F29" s="27">
        <v>1</v>
      </c>
      <c r="G29" s="30" t="s">
        <v>155</v>
      </c>
      <c r="H29" s="27" t="s">
        <v>155</v>
      </c>
      <c r="I29" s="25" t="s">
        <v>15</v>
      </c>
      <c r="J29" s="34">
        <f>IF(E29="","",raw_data!C21)</f>
        <v>0</v>
      </c>
      <c r="K29" s="19">
        <f>IF(E29="","",raw_data!D21)</f>
        <v>0</v>
      </c>
      <c r="L29" s="19">
        <f>IF(F29="","",raw_data!E21)</f>
        <v>0</v>
      </c>
      <c r="M29" s="19">
        <f>IF(E29="","",raw_data!F21)</f>
        <v>0</v>
      </c>
      <c r="N29" s="20" t="str">
        <f t="shared" si="1"/>
        <v>-</v>
      </c>
      <c r="O29" s="19">
        <f>IF(E29="","",raw_data!G21)</f>
        <v>0</v>
      </c>
      <c r="P29" s="20" t="str">
        <f t="shared" ref="P29:P92" si="3">IF(E29="","",IFERROR(O29/K29,"-"))</f>
        <v>-</v>
      </c>
      <c r="Q29" s="19">
        <f>IF(F29="","",raw_data!H21)</f>
        <v>0</v>
      </c>
      <c r="R29" s="37" t="str">
        <f t="shared" ref="R29:R92" si="4">IF(F29="","",IFERROR(Q29/L29,"-"))</f>
        <v>-</v>
      </c>
      <c r="S29" s="41" t="str">
        <f t="shared" si="0"/>
        <v>erfüllt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2.75" customHeight="1" x14ac:dyDescent="0.2">
      <c r="A30" s="9" t="s">
        <v>383</v>
      </c>
      <c r="B30" s="9" t="s">
        <v>32</v>
      </c>
      <c r="C30" s="9" t="s">
        <v>31</v>
      </c>
      <c r="D30" s="23" t="s">
        <v>377</v>
      </c>
      <c r="E30" s="28">
        <v>0.9</v>
      </c>
      <c r="F30" s="27">
        <v>0.5</v>
      </c>
      <c r="G30" s="30" t="s">
        <v>155</v>
      </c>
      <c r="H30" s="27" t="s">
        <v>155</v>
      </c>
      <c r="I30" s="25" t="s">
        <v>15</v>
      </c>
      <c r="J30" s="34">
        <f>IF(E30="","",raw_data!C22)</f>
        <v>0</v>
      </c>
      <c r="K30" s="19">
        <f>IF(E30="","",raw_data!D22)</f>
        <v>0</v>
      </c>
      <c r="L30" s="19">
        <f>IF(F30="","",raw_data!E22)</f>
        <v>0</v>
      </c>
      <c r="M30" s="19">
        <f>IF(E30="","",raw_data!F22)</f>
        <v>0</v>
      </c>
      <c r="N30" s="20" t="str">
        <f t="shared" si="1"/>
        <v>-</v>
      </c>
      <c r="O30" s="19">
        <f>IF(E30="","",raw_data!G22)</f>
        <v>0</v>
      </c>
      <c r="P30" s="20" t="str">
        <f t="shared" si="3"/>
        <v>-</v>
      </c>
      <c r="Q30" s="19">
        <f>IF(F30="","",raw_data!H22)</f>
        <v>0</v>
      </c>
      <c r="R30" s="37" t="str">
        <f t="shared" si="4"/>
        <v>-</v>
      </c>
      <c r="S30" s="41" t="str">
        <f t="shared" si="0"/>
        <v>erfüllt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2.75" customHeight="1" x14ac:dyDescent="0.2">
      <c r="A31" s="9">
        <v>11003</v>
      </c>
      <c r="B31" s="9" t="s">
        <v>32</v>
      </c>
      <c r="C31" s="9" t="s">
        <v>33</v>
      </c>
      <c r="D31" s="23"/>
      <c r="E31" s="28"/>
      <c r="F31" s="27"/>
      <c r="G31" s="30"/>
      <c r="H31" s="27"/>
      <c r="I31" s="25" t="s">
        <v>15</v>
      </c>
      <c r="J31" s="34" t="str">
        <f>IF(E31="","",raw_data!C23)</f>
        <v/>
      </c>
      <c r="K31" s="19" t="str">
        <f>IF(E31="","",raw_data!D23)</f>
        <v/>
      </c>
      <c r="L31" s="19" t="str">
        <f>IF(F31="","",raw_data!E23)</f>
        <v/>
      </c>
      <c r="M31" s="19" t="str">
        <f>IF(E31="","",raw_data!F23)</f>
        <v/>
      </c>
      <c r="N31" s="20" t="str">
        <f t="shared" si="1"/>
        <v/>
      </c>
      <c r="O31" s="19" t="str">
        <f>IF(E31="","",raw_data!G23)</f>
        <v/>
      </c>
      <c r="P31" s="20" t="str">
        <f t="shared" si="3"/>
        <v/>
      </c>
      <c r="Q31" s="19" t="str">
        <f>IF(F31="","",raw_data!H23)</f>
        <v/>
      </c>
      <c r="R31" s="37" t="str">
        <f t="shared" si="4"/>
        <v/>
      </c>
      <c r="S31" s="41" t="str">
        <f t="shared" si="0"/>
        <v/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2.75" customHeight="1" x14ac:dyDescent="0.2">
      <c r="A32" s="9" t="s">
        <v>385</v>
      </c>
      <c r="B32" s="9" t="s">
        <v>32</v>
      </c>
      <c r="C32" s="9" t="s">
        <v>170</v>
      </c>
      <c r="D32" s="23"/>
      <c r="E32" s="28">
        <v>1</v>
      </c>
      <c r="F32" s="27">
        <v>1</v>
      </c>
      <c r="G32" s="30" t="s">
        <v>155</v>
      </c>
      <c r="H32" s="27" t="s">
        <v>155</v>
      </c>
      <c r="I32" s="25" t="s">
        <v>34</v>
      </c>
      <c r="J32" s="34">
        <f>IF(E32="","",raw_data!C24)</f>
        <v>0</v>
      </c>
      <c r="K32" s="19">
        <f>IF(E32="","",raw_data!D24)</f>
        <v>0</v>
      </c>
      <c r="L32" s="19">
        <f>IF(F32="","",raw_data!E24)</f>
        <v>0</v>
      </c>
      <c r="M32" s="19">
        <f>IF(E32="","",raw_data!F24)</f>
        <v>0</v>
      </c>
      <c r="N32" s="20" t="str">
        <f t="shared" si="1"/>
        <v>-</v>
      </c>
      <c r="O32" s="19">
        <f>IF(E32="","",raw_data!G24)</f>
        <v>0</v>
      </c>
      <c r="P32" s="20" t="str">
        <f t="shared" si="3"/>
        <v>-</v>
      </c>
      <c r="Q32" s="19">
        <f>IF(F32="","",raw_data!H24)</f>
        <v>0</v>
      </c>
      <c r="R32" s="37" t="str">
        <f t="shared" si="4"/>
        <v>-</v>
      </c>
      <c r="S32" s="41" t="str">
        <f t="shared" si="0"/>
        <v>erfüllt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2.75" customHeight="1" x14ac:dyDescent="0.2">
      <c r="A33" s="9" t="s">
        <v>386</v>
      </c>
      <c r="B33" s="9" t="s">
        <v>32</v>
      </c>
      <c r="C33" s="9" t="s">
        <v>170</v>
      </c>
      <c r="D33" s="23" t="s">
        <v>377</v>
      </c>
      <c r="E33" s="28">
        <v>0.5</v>
      </c>
      <c r="F33" s="27"/>
      <c r="G33" s="30" t="s">
        <v>155</v>
      </c>
      <c r="H33" s="27"/>
      <c r="I33" s="25" t="s">
        <v>34</v>
      </c>
      <c r="J33" s="34">
        <f>IF(E33="","",raw_data!C25)</f>
        <v>0</v>
      </c>
      <c r="K33" s="19">
        <f>IF(E33="","",raw_data!D25)</f>
        <v>0</v>
      </c>
      <c r="L33" s="19" t="str">
        <f>IF(F33="","",raw_data!E25)</f>
        <v/>
      </c>
      <c r="M33" s="19">
        <f>IF(E33="","",raw_data!F25)</f>
        <v>0</v>
      </c>
      <c r="N33" s="20" t="str">
        <f t="shared" si="1"/>
        <v>-</v>
      </c>
      <c r="O33" s="19">
        <f>IF(E33="","",raw_data!G25)</f>
        <v>0</v>
      </c>
      <c r="P33" s="20" t="str">
        <f t="shared" si="3"/>
        <v>-</v>
      </c>
      <c r="Q33" s="19" t="str">
        <f>IF(F33="","",raw_data!H25)</f>
        <v/>
      </c>
      <c r="R33" s="37" t="str">
        <f t="shared" si="4"/>
        <v/>
      </c>
      <c r="S33" s="41" t="str">
        <f t="shared" si="0"/>
        <v>erfüllt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.75" customHeight="1" x14ac:dyDescent="0.2">
      <c r="A34" s="9">
        <v>11005</v>
      </c>
      <c r="B34" s="9" t="s">
        <v>32</v>
      </c>
      <c r="C34" s="9" t="s">
        <v>19</v>
      </c>
      <c r="D34" s="23"/>
      <c r="E34" s="28"/>
      <c r="F34" s="27"/>
      <c r="G34" s="30"/>
      <c r="H34" s="27"/>
      <c r="I34" s="25" t="s">
        <v>15</v>
      </c>
      <c r="J34" s="34" t="str">
        <f>IF(E34="","",raw_data!C26)</f>
        <v/>
      </c>
      <c r="K34" s="19" t="str">
        <f>IF(E34="","",raw_data!D26)</f>
        <v/>
      </c>
      <c r="L34" s="19" t="str">
        <f>IF(F34="","",raw_data!E26)</f>
        <v/>
      </c>
      <c r="M34" s="19" t="str">
        <f>IF(E34="","",raw_data!F26)</f>
        <v/>
      </c>
      <c r="N34" s="20" t="str">
        <f t="shared" si="1"/>
        <v/>
      </c>
      <c r="O34" s="19" t="str">
        <f>IF(E34="","",raw_data!G26)</f>
        <v/>
      </c>
      <c r="P34" s="20" t="str">
        <f t="shared" si="3"/>
        <v/>
      </c>
      <c r="Q34" s="19" t="str">
        <f>IF(F34="","",raw_data!H26)</f>
        <v/>
      </c>
      <c r="R34" s="37" t="str">
        <f t="shared" si="4"/>
        <v/>
      </c>
      <c r="S34" s="41" t="str">
        <f t="shared" si="0"/>
        <v/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2.75" customHeight="1" x14ac:dyDescent="0.2">
      <c r="A35" s="9">
        <v>11006</v>
      </c>
      <c r="B35" s="9" t="s">
        <v>32</v>
      </c>
      <c r="C35" s="9" t="s">
        <v>171</v>
      </c>
      <c r="D35" s="23"/>
      <c r="E35" s="28">
        <v>1</v>
      </c>
      <c r="F35" s="27"/>
      <c r="G35" s="30" t="s">
        <v>387</v>
      </c>
      <c r="H35" s="27"/>
      <c r="I35" s="25" t="s">
        <v>15</v>
      </c>
      <c r="J35" s="34">
        <f>IF(E35="","",raw_data!C27)</f>
        <v>0</v>
      </c>
      <c r="K35" s="19">
        <f>IF(E35="","",raw_data!D27)</f>
        <v>0</v>
      </c>
      <c r="L35" s="19" t="str">
        <f>IF(F35="","",raw_data!E27)</f>
        <v/>
      </c>
      <c r="M35" s="19">
        <f>IF(E35="","",raw_data!F27)</f>
        <v>0</v>
      </c>
      <c r="N35" s="20" t="str">
        <f t="shared" si="1"/>
        <v>-</v>
      </c>
      <c r="O35" s="19">
        <f>IF(E35="","",raw_data!G27)</f>
        <v>0</v>
      </c>
      <c r="P35" s="20" t="str">
        <f t="shared" si="3"/>
        <v>-</v>
      </c>
      <c r="Q35" s="19" t="str">
        <f>IF(F35="","",raw_data!H27)</f>
        <v/>
      </c>
      <c r="R35" s="37" t="str">
        <f t="shared" si="4"/>
        <v/>
      </c>
      <c r="S35" s="41" t="str">
        <f t="shared" si="0"/>
        <v>erfüllt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2.75" customHeight="1" x14ac:dyDescent="0.2">
      <c r="A36" s="9" t="s">
        <v>389</v>
      </c>
      <c r="B36" s="9" t="s">
        <v>32</v>
      </c>
      <c r="C36" s="9" t="s">
        <v>6</v>
      </c>
      <c r="D36" s="23"/>
      <c r="E36" s="28"/>
      <c r="F36" s="27"/>
      <c r="G36" s="30"/>
      <c r="H36" s="27"/>
      <c r="I36" s="25" t="s">
        <v>15</v>
      </c>
      <c r="J36" s="34" t="str">
        <f>IF(E36="","",raw_data!C28)</f>
        <v/>
      </c>
      <c r="K36" s="19" t="str">
        <f>IF(E36="","",raw_data!D28)</f>
        <v/>
      </c>
      <c r="L36" s="19" t="str">
        <f>IF(F36="","",raw_data!E28)</f>
        <v/>
      </c>
      <c r="M36" s="19" t="str">
        <f>IF(E36="","",raw_data!F28)</f>
        <v/>
      </c>
      <c r="N36" s="20" t="str">
        <f t="shared" si="1"/>
        <v/>
      </c>
      <c r="O36" s="19" t="str">
        <f>IF(E36="","",raw_data!G28)</f>
        <v/>
      </c>
      <c r="P36" s="20" t="str">
        <f t="shared" si="3"/>
        <v/>
      </c>
      <c r="Q36" s="19" t="str">
        <f>IF(F36="","",raw_data!H28)</f>
        <v/>
      </c>
      <c r="R36" s="37" t="str">
        <f t="shared" si="4"/>
        <v/>
      </c>
      <c r="S36" s="41" t="str">
        <f t="shared" si="0"/>
        <v/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2.75" customHeight="1" x14ac:dyDescent="0.2">
      <c r="A37" s="9" t="s">
        <v>388</v>
      </c>
      <c r="B37" s="9" t="s">
        <v>32</v>
      </c>
      <c r="C37" s="9" t="s">
        <v>6</v>
      </c>
      <c r="D37" s="23" t="s">
        <v>146</v>
      </c>
      <c r="E37" s="28">
        <v>1</v>
      </c>
      <c r="F37" s="27">
        <v>1</v>
      </c>
      <c r="G37" s="30" t="s">
        <v>155</v>
      </c>
      <c r="H37" s="27" t="s">
        <v>155</v>
      </c>
      <c r="I37" s="25" t="s">
        <v>15</v>
      </c>
      <c r="J37" s="34">
        <f>IF(E37="","",raw_data!C29)</f>
        <v>0</v>
      </c>
      <c r="K37" s="19">
        <f>IF(E37="","",raw_data!D29)</f>
        <v>0</v>
      </c>
      <c r="L37" s="19">
        <f>IF(F37="","",raw_data!E29)</f>
        <v>0</v>
      </c>
      <c r="M37" s="19">
        <f>IF(E37="","",raw_data!F29)</f>
        <v>0</v>
      </c>
      <c r="N37" s="20" t="str">
        <f t="shared" si="1"/>
        <v>-</v>
      </c>
      <c r="O37" s="19">
        <f>IF(E37="","",raw_data!G29)</f>
        <v>0</v>
      </c>
      <c r="P37" s="20" t="str">
        <f t="shared" si="3"/>
        <v>-</v>
      </c>
      <c r="Q37" s="19">
        <f>IF(F37="","",raw_data!H29)</f>
        <v>0</v>
      </c>
      <c r="R37" s="37" t="str">
        <f t="shared" si="4"/>
        <v>-</v>
      </c>
      <c r="S37" s="41" t="str">
        <f t="shared" si="0"/>
        <v>erfüllt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2.75" customHeight="1" x14ac:dyDescent="0.2">
      <c r="A38" s="9">
        <v>11008</v>
      </c>
      <c r="B38" s="9" t="s">
        <v>32</v>
      </c>
      <c r="C38" s="9" t="s">
        <v>160</v>
      </c>
      <c r="D38" s="23"/>
      <c r="E38" s="28"/>
      <c r="F38" s="27"/>
      <c r="G38" s="30"/>
      <c r="H38" s="27"/>
      <c r="I38" s="25" t="s">
        <v>15</v>
      </c>
      <c r="J38" s="34" t="str">
        <f>IF(E38="","",raw_data!C30)</f>
        <v/>
      </c>
      <c r="K38" s="19" t="str">
        <f>IF(E38="","",raw_data!D30)</f>
        <v/>
      </c>
      <c r="L38" s="19" t="str">
        <f>IF(F38="","",raw_data!E30)</f>
        <v/>
      </c>
      <c r="M38" s="19" t="str">
        <f>IF(E38="","",raw_data!F30)</f>
        <v/>
      </c>
      <c r="N38" s="20" t="str">
        <f t="shared" si="1"/>
        <v/>
      </c>
      <c r="O38" s="19" t="str">
        <f>IF(E38="","",raw_data!G30)</f>
        <v/>
      </c>
      <c r="P38" s="20" t="str">
        <f t="shared" si="3"/>
        <v/>
      </c>
      <c r="Q38" s="19" t="str">
        <f>IF(F38="","",raw_data!H30)</f>
        <v/>
      </c>
      <c r="R38" s="37" t="str">
        <f t="shared" si="4"/>
        <v/>
      </c>
      <c r="S38" s="41" t="str">
        <f t="shared" si="0"/>
        <v/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2.75" customHeight="1" x14ac:dyDescent="0.2">
      <c r="A39" s="9">
        <v>11009</v>
      </c>
      <c r="B39" s="9" t="s">
        <v>32</v>
      </c>
      <c r="C39" s="9" t="s">
        <v>161</v>
      </c>
      <c r="D39" s="23"/>
      <c r="E39" s="28"/>
      <c r="F39" s="27"/>
      <c r="G39" s="30"/>
      <c r="H39" s="27"/>
      <c r="I39" s="25" t="s">
        <v>15</v>
      </c>
      <c r="J39" s="34" t="str">
        <f>IF(E39="","",raw_data!C31)</f>
        <v/>
      </c>
      <c r="K39" s="19" t="str">
        <f>IF(E39="","",raw_data!D31)</f>
        <v/>
      </c>
      <c r="L39" s="19" t="str">
        <f>IF(F39="","",raw_data!E31)</f>
        <v/>
      </c>
      <c r="M39" s="19" t="str">
        <f>IF(E39="","",raw_data!F31)</f>
        <v/>
      </c>
      <c r="N39" s="20" t="str">
        <f t="shared" si="1"/>
        <v/>
      </c>
      <c r="O39" s="19" t="str">
        <f>IF(E39="","",raw_data!G31)</f>
        <v/>
      </c>
      <c r="P39" s="20" t="str">
        <f t="shared" si="3"/>
        <v/>
      </c>
      <c r="Q39" s="19" t="str">
        <f>IF(F39="","",raw_data!H31)</f>
        <v/>
      </c>
      <c r="R39" s="37" t="str">
        <f t="shared" si="4"/>
        <v/>
      </c>
      <c r="S39" s="41" t="str">
        <f t="shared" si="0"/>
        <v/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2.75" customHeight="1" x14ac:dyDescent="0.2">
      <c r="A40" s="9">
        <v>11010</v>
      </c>
      <c r="B40" s="9" t="s">
        <v>32</v>
      </c>
      <c r="C40" s="9" t="s">
        <v>35</v>
      </c>
      <c r="D40" s="23"/>
      <c r="E40" s="28">
        <v>1</v>
      </c>
      <c r="F40" s="27"/>
      <c r="G40" s="30" t="s">
        <v>387</v>
      </c>
      <c r="H40" s="27"/>
      <c r="I40" s="25" t="s">
        <v>30</v>
      </c>
      <c r="J40" s="34">
        <f>IF(E40="","",raw_data!C32)</f>
        <v>0</v>
      </c>
      <c r="K40" s="19">
        <f>IF(E40="","",raw_data!D32)</f>
        <v>0</v>
      </c>
      <c r="L40" s="19" t="str">
        <f>IF(F40="","",raw_data!E32)</f>
        <v/>
      </c>
      <c r="M40" s="19">
        <f>IF(E40="","",raw_data!F32)</f>
        <v>0</v>
      </c>
      <c r="N40" s="20" t="str">
        <f t="shared" si="1"/>
        <v>-</v>
      </c>
      <c r="O40" s="19">
        <f>IF(E40="","",raw_data!G32)</f>
        <v>0</v>
      </c>
      <c r="P40" s="20" t="str">
        <f t="shared" si="3"/>
        <v>-</v>
      </c>
      <c r="Q40" s="19" t="str">
        <f>IF(F40="","",raw_data!H32)</f>
        <v/>
      </c>
      <c r="R40" s="37" t="str">
        <f t="shared" si="4"/>
        <v/>
      </c>
      <c r="S40" s="41" t="str">
        <f t="shared" si="0"/>
        <v>erfüllt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2.75" customHeight="1" x14ac:dyDescent="0.2">
      <c r="A41" s="9">
        <v>11011</v>
      </c>
      <c r="B41" s="9" t="s">
        <v>32</v>
      </c>
      <c r="C41" s="9" t="s">
        <v>36</v>
      </c>
      <c r="D41" s="23"/>
      <c r="E41" s="28"/>
      <c r="F41" s="27"/>
      <c r="G41" s="30"/>
      <c r="H41" s="27"/>
      <c r="I41" s="25" t="s">
        <v>15</v>
      </c>
      <c r="J41" s="34" t="str">
        <f>IF(E41="","",raw_data!C33)</f>
        <v/>
      </c>
      <c r="K41" s="19" t="str">
        <f>IF(E41="","",raw_data!D33)</f>
        <v/>
      </c>
      <c r="L41" s="19" t="str">
        <f>IF(F41="","",raw_data!E33)</f>
        <v/>
      </c>
      <c r="M41" s="19" t="str">
        <f>IF(E41="","",raw_data!F33)</f>
        <v/>
      </c>
      <c r="N41" s="20" t="str">
        <f t="shared" si="1"/>
        <v/>
      </c>
      <c r="O41" s="19" t="str">
        <f>IF(E41="","",raw_data!G33)</f>
        <v/>
      </c>
      <c r="P41" s="20" t="str">
        <f t="shared" si="3"/>
        <v/>
      </c>
      <c r="Q41" s="19" t="str">
        <f>IF(F41="","",raw_data!H33)</f>
        <v/>
      </c>
      <c r="R41" s="37" t="str">
        <f t="shared" si="4"/>
        <v/>
      </c>
      <c r="S41" s="41" t="str">
        <f t="shared" si="0"/>
        <v/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2.75" customHeight="1" x14ac:dyDescent="0.2">
      <c r="A42" s="9">
        <v>11012</v>
      </c>
      <c r="B42" s="9" t="s">
        <v>32</v>
      </c>
      <c r="C42" s="9" t="s">
        <v>37</v>
      </c>
      <c r="D42" s="23"/>
      <c r="E42" s="28"/>
      <c r="F42" s="27"/>
      <c r="G42" s="30"/>
      <c r="H42" s="27"/>
      <c r="I42" s="25" t="s">
        <v>15</v>
      </c>
      <c r="J42" s="34" t="str">
        <f>IF(E42="","",raw_data!C34)</f>
        <v/>
      </c>
      <c r="K42" s="19" t="str">
        <f>IF(E42="","",raw_data!D34)</f>
        <v/>
      </c>
      <c r="L42" s="19" t="str">
        <f>IF(F42="","",raw_data!E34)</f>
        <v/>
      </c>
      <c r="M42" s="19" t="str">
        <f>IF(E42="","",raw_data!F34)</f>
        <v/>
      </c>
      <c r="N42" s="20" t="str">
        <f t="shared" si="1"/>
        <v/>
      </c>
      <c r="O42" s="19" t="str">
        <f>IF(E42="","",raw_data!G34)</f>
        <v/>
      </c>
      <c r="P42" s="20" t="str">
        <f t="shared" si="3"/>
        <v/>
      </c>
      <c r="Q42" s="19" t="str">
        <f>IF(F42="","",raw_data!H34)</f>
        <v/>
      </c>
      <c r="R42" s="37" t="str">
        <f t="shared" si="4"/>
        <v/>
      </c>
      <c r="S42" s="41" t="str">
        <f t="shared" si="0"/>
        <v/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2.75" customHeight="1" x14ac:dyDescent="0.2">
      <c r="A43" s="9">
        <v>11013</v>
      </c>
      <c r="B43" s="9" t="s">
        <v>32</v>
      </c>
      <c r="C43" s="9" t="s">
        <v>38</v>
      </c>
      <c r="D43" s="23"/>
      <c r="E43" s="28"/>
      <c r="F43" s="27"/>
      <c r="G43" s="30"/>
      <c r="H43" s="27"/>
      <c r="I43" s="25" t="s">
        <v>15</v>
      </c>
      <c r="J43" s="34" t="str">
        <f>IF(E43="","",raw_data!C35)</f>
        <v/>
      </c>
      <c r="K43" s="19" t="str">
        <f>IF(E43="","",raw_data!D35)</f>
        <v/>
      </c>
      <c r="L43" s="19" t="str">
        <f>IF(F43="","",raw_data!E35)</f>
        <v/>
      </c>
      <c r="M43" s="19" t="str">
        <f>IF(E43="","",raw_data!F35)</f>
        <v/>
      </c>
      <c r="N43" s="20" t="str">
        <f t="shared" si="1"/>
        <v/>
      </c>
      <c r="O43" s="19" t="str">
        <f>IF(E43="","",raw_data!G35)</f>
        <v/>
      </c>
      <c r="P43" s="20" t="str">
        <f t="shared" si="3"/>
        <v/>
      </c>
      <c r="Q43" s="19" t="str">
        <f>IF(F43="","",raw_data!H35)</f>
        <v/>
      </c>
      <c r="R43" s="37" t="str">
        <f t="shared" si="4"/>
        <v/>
      </c>
      <c r="S43" s="41" t="str">
        <f t="shared" si="0"/>
        <v/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2.75" customHeight="1" x14ac:dyDescent="0.2">
      <c r="A44" s="9">
        <v>11014</v>
      </c>
      <c r="B44" s="9" t="s">
        <v>32</v>
      </c>
      <c r="C44" s="9" t="s">
        <v>365</v>
      </c>
      <c r="D44" s="23"/>
      <c r="E44" s="28"/>
      <c r="F44" s="27"/>
      <c r="G44" s="30"/>
      <c r="H44" s="27"/>
      <c r="I44" s="25" t="s">
        <v>15</v>
      </c>
      <c r="J44" s="34" t="str">
        <f>IF(E44="","",raw_data!C36)</f>
        <v/>
      </c>
      <c r="K44" s="19" t="str">
        <f>IF(E44="","",raw_data!D36)</f>
        <v/>
      </c>
      <c r="L44" s="19" t="str">
        <f>IF(F44="","",raw_data!E36)</f>
        <v/>
      </c>
      <c r="M44" s="19" t="str">
        <f>IF(E44="","",raw_data!F36)</f>
        <v/>
      </c>
      <c r="N44" s="20" t="str">
        <f t="shared" si="1"/>
        <v/>
      </c>
      <c r="O44" s="19" t="str">
        <f>IF(E44="","",raw_data!G36)</f>
        <v/>
      </c>
      <c r="P44" s="20" t="str">
        <f t="shared" si="3"/>
        <v/>
      </c>
      <c r="Q44" s="19" t="str">
        <f>IF(F44="","",raw_data!H36)</f>
        <v/>
      </c>
      <c r="R44" s="37" t="str">
        <f t="shared" si="4"/>
        <v/>
      </c>
      <c r="S44" s="41" t="str">
        <f t="shared" si="0"/>
        <v/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2.75" customHeight="1" x14ac:dyDescent="0.2">
      <c r="A45" s="9">
        <v>11015</v>
      </c>
      <c r="B45" s="9" t="s">
        <v>32</v>
      </c>
      <c r="C45" s="9" t="s">
        <v>172</v>
      </c>
      <c r="D45" s="23"/>
      <c r="E45" s="28">
        <v>1</v>
      </c>
      <c r="F45" s="27">
        <v>1</v>
      </c>
      <c r="G45" s="30" t="s">
        <v>155</v>
      </c>
      <c r="H45" s="27" t="s">
        <v>155</v>
      </c>
      <c r="I45" s="25" t="s">
        <v>15</v>
      </c>
      <c r="J45" s="34">
        <f>IF(E45="","",raw_data!C37)</f>
        <v>0</v>
      </c>
      <c r="K45" s="19">
        <f>IF(E45="","",raw_data!D37)</f>
        <v>0</v>
      </c>
      <c r="L45" s="19">
        <f>IF(F45="","",raw_data!E37)</f>
        <v>0</v>
      </c>
      <c r="M45" s="19">
        <f>IF(E45="","",raw_data!F37)</f>
        <v>0</v>
      </c>
      <c r="N45" s="20" t="str">
        <f t="shared" si="1"/>
        <v>-</v>
      </c>
      <c r="O45" s="19">
        <f>IF(E45="","",raw_data!G37)</f>
        <v>0</v>
      </c>
      <c r="P45" s="20" t="str">
        <f t="shared" si="3"/>
        <v>-</v>
      </c>
      <c r="Q45" s="19">
        <f>IF(F45="","",raw_data!H37)</f>
        <v>0</v>
      </c>
      <c r="R45" s="37" t="str">
        <f t="shared" si="4"/>
        <v>-</v>
      </c>
      <c r="S45" s="41" t="str">
        <f t="shared" si="0"/>
        <v>erfüllt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2.75" customHeight="1" x14ac:dyDescent="0.2">
      <c r="A46" s="9" t="s">
        <v>390</v>
      </c>
      <c r="B46" s="9" t="s">
        <v>32</v>
      </c>
      <c r="C46" s="9" t="s">
        <v>39</v>
      </c>
      <c r="D46" s="23"/>
      <c r="E46" s="28">
        <v>1</v>
      </c>
      <c r="F46" s="27">
        <v>1</v>
      </c>
      <c r="G46" s="30" t="s">
        <v>155</v>
      </c>
      <c r="H46" s="27" t="s">
        <v>155</v>
      </c>
      <c r="I46" s="25" t="s">
        <v>15</v>
      </c>
      <c r="J46" s="34">
        <f>IF(E46="","",raw_data!C38)</f>
        <v>0</v>
      </c>
      <c r="K46" s="19">
        <f>IF(E46="","",raw_data!D38)</f>
        <v>0</v>
      </c>
      <c r="L46" s="19">
        <f>IF(F46="","",raw_data!E38)</f>
        <v>0</v>
      </c>
      <c r="M46" s="19">
        <f>IF(E46="","",raw_data!F38)</f>
        <v>0</v>
      </c>
      <c r="N46" s="20" t="str">
        <f t="shared" si="1"/>
        <v>-</v>
      </c>
      <c r="O46" s="19">
        <f>IF(E46="","",raw_data!G38)</f>
        <v>0</v>
      </c>
      <c r="P46" s="20" t="str">
        <f t="shared" si="3"/>
        <v>-</v>
      </c>
      <c r="Q46" s="19">
        <f>IF(F46="","",raw_data!H38)</f>
        <v>0</v>
      </c>
      <c r="R46" s="37" t="str">
        <f t="shared" si="4"/>
        <v>-</v>
      </c>
      <c r="S46" s="41" t="str">
        <f t="shared" si="0"/>
        <v>erfüllt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2.75" customHeight="1" x14ac:dyDescent="0.2">
      <c r="A47" s="9" t="s">
        <v>391</v>
      </c>
      <c r="B47" s="9" t="s">
        <v>32</v>
      </c>
      <c r="C47" s="9" t="s">
        <v>39</v>
      </c>
      <c r="D47" s="23" t="s">
        <v>377</v>
      </c>
      <c r="E47" s="28">
        <v>0.9</v>
      </c>
      <c r="F47" s="27">
        <v>0.5</v>
      </c>
      <c r="G47" s="30" t="s">
        <v>155</v>
      </c>
      <c r="H47" s="27" t="s">
        <v>155</v>
      </c>
      <c r="I47" s="25" t="s">
        <v>15</v>
      </c>
      <c r="J47" s="34">
        <f>IF(E47="","",raw_data!C39)</f>
        <v>0</v>
      </c>
      <c r="K47" s="19">
        <f>IF(E47="","",raw_data!D39)</f>
        <v>0</v>
      </c>
      <c r="L47" s="19">
        <f>IF(F47="","",raw_data!E39)</f>
        <v>0</v>
      </c>
      <c r="M47" s="19">
        <f>IF(E47="","",raw_data!F39)</f>
        <v>0</v>
      </c>
      <c r="N47" s="20" t="str">
        <f t="shared" si="1"/>
        <v>-</v>
      </c>
      <c r="O47" s="19">
        <f>IF(E47="","",raw_data!G39)</f>
        <v>0</v>
      </c>
      <c r="P47" s="20" t="str">
        <f t="shared" si="3"/>
        <v>-</v>
      </c>
      <c r="Q47" s="19">
        <f>IF(F47="","",raw_data!H39)</f>
        <v>0</v>
      </c>
      <c r="R47" s="37" t="str">
        <f t="shared" si="4"/>
        <v>-</v>
      </c>
      <c r="S47" s="41" t="str">
        <f t="shared" si="0"/>
        <v>erfüllt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2.75" customHeight="1" x14ac:dyDescent="0.2">
      <c r="A48" s="9" t="s">
        <v>392</v>
      </c>
      <c r="B48" s="9" t="s">
        <v>32</v>
      </c>
      <c r="C48" s="9" t="s">
        <v>173</v>
      </c>
      <c r="D48" s="23"/>
      <c r="E48" s="28">
        <v>1</v>
      </c>
      <c r="F48" s="27">
        <v>1</v>
      </c>
      <c r="G48" s="30" t="s">
        <v>155</v>
      </c>
      <c r="H48" s="27" t="s">
        <v>155</v>
      </c>
      <c r="I48" s="25" t="s">
        <v>15</v>
      </c>
      <c r="J48" s="34">
        <f>IF(E48="","",raw_data!C40)</f>
        <v>0</v>
      </c>
      <c r="K48" s="19">
        <f>IF(E48="","",raw_data!D40)</f>
        <v>0</v>
      </c>
      <c r="L48" s="19">
        <f>IF(F48="","",raw_data!E40)</f>
        <v>0</v>
      </c>
      <c r="M48" s="19">
        <f>IF(E48="","",raw_data!F40)</f>
        <v>0</v>
      </c>
      <c r="N48" s="20" t="str">
        <f t="shared" si="1"/>
        <v>-</v>
      </c>
      <c r="O48" s="19">
        <f>IF(E48="","",raw_data!G40)</f>
        <v>0</v>
      </c>
      <c r="P48" s="20" t="str">
        <f t="shared" si="3"/>
        <v>-</v>
      </c>
      <c r="Q48" s="19">
        <f>IF(F48="","",raw_data!H40)</f>
        <v>0</v>
      </c>
      <c r="R48" s="37" t="str">
        <f t="shared" si="4"/>
        <v>-</v>
      </c>
      <c r="S48" s="41" t="str">
        <f t="shared" si="0"/>
        <v>erfüllt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2.75" customHeight="1" x14ac:dyDescent="0.2">
      <c r="A49" s="9" t="s">
        <v>393</v>
      </c>
      <c r="B49" s="9" t="s">
        <v>32</v>
      </c>
      <c r="C49" s="9" t="s">
        <v>173</v>
      </c>
      <c r="D49" s="23" t="s">
        <v>377</v>
      </c>
      <c r="E49" s="28">
        <v>0.9</v>
      </c>
      <c r="F49" s="27"/>
      <c r="G49" s="30" t="s">
        <v>155</v>
      </c>
      <c r="H49" s="27"/>
      <c r="I49" s="25" t="s">
        <v>15</v>
      </c>
      <c r="J49" s="34">
        <f>IF(E49="","",raw_data!C41)</f>
        <v>0</v>
      </c>
      <c r="K49" s="19">
        <f>IF(E49="","",raw_data!D41)</f>
        <v>0</v>
      </c>
      <c r="L49" s="19" t="str">
        <f>IF(F49="","",raw_data!E41)</f>
        <v/>
      </c>
      <c r="M49" s="19">
        <f>IF(E49="","",raw_data!F41)</f>
        <v>0</v>
      </c>
      <c r="N49" s="20" t="str">
        <f t="shared" si="1"/>
        <v>-</v>
      </c>
      <c r="O49" s="19">
        <f>IF(E49="","",raw_data!G41)</f>
        <v>0</v>
      </c>
      <c r="P49" s="20" t="str">
        <f t="shared" si="3"/>
        <v>-</v>
      </c>
      <c r="Q49" s="19" t="str">
        <f>IF(F49="","",raw_data!H41)</f>
        <v/>
      </c>
      <c r="R49" s="37" t="str">
        <f t="shared" si="4"/>
        <v/>
      </c>
      <c r="S49" s="41" t="str">
        <f t="shared" si="0"/>
        <v>erfüllt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2.75" customHeight="1" x14ac:dyDescent="0.2">
      <c r="A50" s="9">
        <v>11018</v>
      </c>
      <c r="B50" s="9" t="s">
        <v>32</v>
      </c>
      <c r="C50" s="9" t="s">
        <v>174</v>
      </c>
      <c r="D50" s="23"/>
      <c r="E50" s="28">
        <v>1</v>
      </c>
      <c r="F50" s="27">
        <v>1</v>
      </c>
      <c r="G50" s="30" t="s">
        <v>155</v>
      </c>
      <c r="H50" s="27" t="s">
        <v>155</v>
      </c>
      <c r="I50" s="25" t="s">
        <v>15</v>
      </c>
      <c r="J50" s="34">
        <f>IF(E50="","",raw_data!C42)</f>
        <v>0</v>
      </c>
      <c r="K50" s="19">
        <f>IF(E50="","",raw_data!D42)</f>
        <v>0</v>
      </c>
      <c r="L50" s="19">
        <f>IF(F50="","",raw_data!E42)</f>
        <v>0</v>
      </c>
      <c r="M50" s="19">
        <f>IF(E50="","",raw_data!F42)</f>
        <v>0</v>
      </c>
      <c r="N50" s="20" t="str">
        <f t="shared" si="1"/>
        <v>-</v>
      </c>
      <c r="O50" s="19">
        <f>IF(E50="","",raw_data!G42)</f>
        <v>0</v>
      </c>
      <c r="P50" s="20" t="str">
        <f t="shared" si="3"/>
        <v>-</v>
      </c>
      <c r="Q50" s="19">
        <f>IF(F50="","",raw_data!H42)</f>
        <v>0</v>
      </c>
      <c r="R50" s="37" t="str">
        <f t="shared" si="4"/>
        <v>-</v>
      </c>
      <c r="S50" s="41" t="str">
        <f t="shared" si="0"/>
        <v>erfüllt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2.75" customHeight="1" x14ac:dyDescent="0.2">
      <c r="A51" s="9">
        <v>11019</v>
      </c>
      <c r="B51" s="9" t="s">
        <v>32</v>
      </c>
      <c r="C51" s="9" t="s">
        <v>8</v>
      </c>
      <c r="D51" s="23"/>
      <c r="E51" s="28">
        <v>1</v>
      </c>
      <c r="F51" s="27">
        <v>1</v>
      </c>
      <c r="G51" s="30" t="s">
        <v>155</v>
      </c>
      <c r="H51" s="27" t="s">
        <v>155</v>
      </c>
      <c r="I51" s="25" t="s">
        <v>15</v>
      </c>
      <c r="J51" s="34">
        <f>IF(E51="","",raw_data!C43)</f>
        <v>0</v>
      </c>
      <c r="K51" s="19">
        <f>IF(E51="","",raw_data!D43)</f>
        <v>0</v>
      </c>
      <c r="L51" s="19">
        <f>IF(F51="","",raw_data!E43)</f>
        <v>0</v>
      </c>
      <c r="M51" s="19">
        <f>IF(E51="","",raw_data!F43)</f>
        <v>0</v>
      </c>
      <c r="N51" s="20" t="str">
        <f t="shared" si="1"/>
        <v>-</v>
      </c>
      <c r="O51" s="19">
        <f>IF(E51="","",raw_data!G43)</f>
        <v>0</v>
      </c>
      <c r="P51" s="20" t="str">
        <f t="shared" si="3"/>
        <v>-</v>
      </c>
      <c r="Q51" s="19">
        <f>IF(F51="","",raw_data!H43)</f>
        <v>0</v>
      </c>
      <c r="R51" s="37" t="str">
        <f t="shared" si="4"/>
        <v>-</v>
      </c>
      <c r="S51" s="41" t="str">
        <f t="shared" si="0"/>
        <v>erfüllt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2.75" customHeight="1" x14ac:dyDescent="0.2">
      <c r="A52" s="9">
        <v>11020</v>
      </c>
      <c r="B52" s="9" t="s">
        <v>32</v>
      </c>
      <c r="C52" s="9" t="s">
        <v>175</v>
      </c>
      <c r="D52" s="23"/>
      <c r="E52" s="28"/>
      <c r="F52" s="27"/>
      <c r="G52" s="30"/>
      <c r="H52" s="27"/>
      <c r="I52" s="25" t="s">
        <v>15</v>
      </c>
      <c r="J52" s="34" t="str">
        <f>IF(E52="","",raw_data!C44)</f>
        <v/>
      </c>
      <c r="K52" s="19" t="str">
        <f>IF(E52="","",raw_data!D44)</f>
        <v/>
      </c>
      <c r="L52" s="19" t="str">
        <f>IF(F52="","",raw_data!E44)</f>
        <v/>
      </c>
      <c r="M52" s="19" t="str">
        <f>IF(E52="","",raw_data!F44)</f>
        <v/>
      </c>
      <c r="N52" s="20" t="str">
        <f t="shared" si="1"/>
        <v/>
      </c>
      <c r="O52" s="19" t="str">
        <f>IF(E52="","",raw_data!G44)</f>
        <v/>
      </c>
      <c r="P52" s="20" t="str">
        <f t="shared" si="3"/>
        <v/>
      </c>
      <c r="Q52" s="19" t="str">
        <f>IF(F52="","",raw_data!H44)</f>
        <v/>
      </c>
      <c r="R52" s="37" t="str">
        <f t="shared" si="4"/>
        <v/>
      </c>
      <c r="S52" s="41" t="str">
        <f t="shared" si="0"/>
        <v/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2.75" customHeight="1" x14ac:dyDescent="0.2">
      <c r="A53" s="9">
        <v>11021</v>
      </c>
      <c r="B53" s="9" t="s">
        <v>32</v>
      </c>
      <c r="C53" s="9" t="s">
        <v>162</v>
      </c>
      <c r="D53" s="23"/>
      <c r="E53" s="28"/>
      <c r="F53" s="27"/>
      <c r="G53" s="30"/>
      <c r="H53" s="27"/>
      <c r="I53" s="25" t="s">
        <v>15</v>
      </c>
      <c r="J53" s="34" t="str">
        <f>IF(E53="","",raw_data!C45)</f>
        <v/>
      </c>
      <c r="K53" s="19" t="str">
        <f>IF(E53="","",raw_data!D45)</f>
        <v/>
      </c>
      <c r="L53" s="19" t="str">
        <f>IF(F53="","",raw_data!E45)</f>
        <v/>
      </c>
      <c r="M53" s="19" t="str">
        <f>IF(E53="","",raw_data!F45)</f>
        <v/>
      </c>
      <c r="N53" s="20" t="str">
        <f t="shared" si="1"/>
        <v/>
      </c>
      <c r="O53" s="19" t="str">
        <f>IF(E53="","",raw_data!G45)</f>
        <v/>
      </c>
      <c r="P53" s="20" t="str">
        <f t="shared" si="3"/>
        <v/>
      </c>
      <c r="Q53" s="19" t="str">
        <f>IF(F53="","",raw_data!H45)</f>
        <v/>
      </c>
      <c r="R53" s="37" t="str">
        <f t="shared" si="4"/>
        <v/>
      </c>
      <c r="S53" s="41" t="str">
        <f t="shared" si="0"/>
        <v/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2.75" customHeight="1" x14ac:dyDescent="0.2">
      <c r="A54" s="9" t="s">
        <v>394</v>
      </c>
      <c r="B54" s="9" t="s">
        <v>32</v>
      </c>
      <c r="C54" s="9" t="s">
        <v>176</v>
      </c>
      <c r="D54" s="23"/>
      <c r="E54" s="28">
        <v>1</v>
      </c>
      <c r="F54" s="27"/>
      <c r="G54" s="30" t="s">
        <v>387</v>
      </c>
      <c r="H54" s="27"/>
      <c r="I54" s="25" t="s">
        <v>15</v>
      </c>
      <c r="J54" s="34">
        <f>IF(E54="","",raw_data!C46)</f>
        <v>0</v>
      </c>
      <c r="K54" s="19">
        <f>IF(E54="","",raw_data!D46)</f>
        <v>0</v>
      </c>
      <c r="L54" s="19" t="str">
        <f>IF(F54="","",raw_data!E46)</f>
        <v/>
      </c>
      <c r="M54" s="19">
        <f>IF(E54="","",raw_data!F46)</f>
        <v>0</v>
      </c>
      <c r="N54" s="20" t="str">
        <f t="shared" si="1"/>
        <v>-</v>
      </c>
      <c r="O54" s="19">
        <f>IF(E54="","",raw_data!G46)</f>
        <v>0</v>
      </c>
      <c r="P54" s="20" t="str">
        <f t="shared" si="3"/>
        <v>-</v>
      </c>
      <c r="Q54" s="19" t="str">
        <f>IF(F54="","",raw_data!H46)</f>
        <v/>
      </c>
      <c r="R54" s="37" t="str">
        <f t="shared" si="4"/>
        <v/>
      </c>
      <c r="S54" s="41" t="str">
        <f t="shared" si="0"/>
        <v>erfüllt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2.75" customHeight="1" x14ac:dyDescent="0.2">
      <c r="A55" s="9" t="s">
        <v>397</v>
      </c>
      <c r="B55" s="9" t="s">
        <v>32</v>
      </c>
      <c r="C55" s="9" t="s">
        <v>176</v>
      </c>
      <c r="D55" s="23" t="s">
        <v>377</v>
      </c>
      <c r="E55" s="28">
        <v>0.9</v>
      </c>
      <c r="F55" s="27"/>
      <c r="G55" s="30" t="s">
        <v>155</v>
      </c>
      <c r="H55" s="27"/>
      <c r="I55" s="25" t="s">
        <v>15</v>
      </c>
      <c r="J55" s="34">
        <f>IF(E55="","",raw_data!C47)</f>
        <v>0</v>
      </c>
      <c r="K55" s="19">
        <f>IF(E55="","",raw_data!D47)</f>
        <v>0</v>
      </c>
      <c r="L55" s="19" t="str">
        <f>IF(F55="","",raw_data!E47)</f>
        <v/>
      </c>
      <c r="M55" s="19">
        <f>IF(E55="","",raw_data!F47)</f>
        <v>0</v>
      </c>
      <c r="N55" s="20" t="str">
        <f t="shared" si="1"/>
        <v>-</v>
      </c>
      <c r="O55" s="19">
        <f>IF(E55="","",raw_data!G47)</f>
        <v>0</v>
      </c>
      <c r="P55" s="20" t="str">
        <f t="shared" si="3"/>
        <v>-</v>
      </c>
      <c r="Q55" s="19" t="str">
        <f>IF(F55="","",raw_data!H47)</f>
        <v/>
      </c>
      <c r="R55" s="37" t="str">
        <f t="shared" si="4"/>
        <v/>
      </c>
      <c r="S55" s="41" t="str">
        <f t="shared" si="0"/>
        <v>erfüllt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2.75" customHeight="1" x14ac:dyDescent="0.2">
      <c r="A56" s="9" t="s">
        <v>395</v>
      </c>
      <c r="B56" s="9" t="s">
        <v>32</v>
      </c>
      <c r="C56" s="9" t="s">
        <v>40</v>
      </c>
      <c r="D56" s="23"/>
      <c r="E56" s="28">
        <v>1</v>
      </c>
      <c r="F56" s="27"/>
      <c r="G56" s="30" t="s">
        <v>155</v>
      </c>
      <c r="H56" s="27"/>
      <c r="I56" s="25" t="s">
        <v>15</v>
      </c>
      <c r="J56" s="34">
        <f>IF(E56="","",raw_data!C48)</f>
        <v>0</v>
      </c>
      <c r="K56" s="19">
        <f>IF(E56="","",raw_data!D48)</f>
        <v>0</v>
      </c>
      <c r="L56" s="19" t="str">
        <f>IF(F56="","",raw_data!E48)</f>
        <v/>
      </c>
      <c r="M56" s="19">
        <f>IF(E56="","",raw_data!F48)</f>
        <v>0</v>
      </c>
      <c r="N56" s="20" t="str">
        <f t="shared" si="1"/>
        <v>-</v>
      </c>
      <c r="O56" s="19">
        <f>IF(E56="","",raw_data!G48)</f>
        <v>0</v>
      </c>
      <c r="P56" s="20" t="str">
        <f t="shared" si="3"/>
        <v>-</v>
      </c>
      <c r="Q56" s="19" t="str">
        <f>IF(F56="","",raw_data!H48)</f>
        <v/>
      </c>
      <c r="R56" s="37" t="str">
        <f t="shared" si="4"/>
        <v/>
      </c>
      <c r="S56" s="41" t="str">
        <f t="shared" si="0"/>
        <v>erfüllt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2.75" customHeight="1" x14ac:dyDescent="0.2">
      <c r="A57" s="9" t="s">
        <v>396</v>
      </c>
      <c r="B57" s="9" t="s">
        <v>32</v>
      </c>
      <c r="C57" s="9" t="s">
        <v>40</v>
      </c>
      <c r="D57" s="23" t="s">
        <v>377</v>
      </c>
      <c r="E57" s="28">
        <v>0.9</v>
      </c>
      <c r="F57" s="27"/>
      <c r="G57" s="30" t="s">
        <v>155</v>
      </c>
      <c r="H57" s="27"/>
      <c r="I57" s="25" t="s">
        <v>15</v>
      </c>
      <c r="J57" s="34">
        <f>IF(E57="","",raw_data!C49)</f>
        <v>0</v>
      </c>
      <c r="K57" s="19">
        <f>IF(E57="","",raw_data!D49)</f>
        <v>0</v>
      </c>
      <c r="L57" s="19" t="str">
        <f>IF(F57="","",raw_data!E49)</f>
        <v/>
      </c>
      <c r="M57" s="19">
        <f>IF(E57="","",raw_data!F49)</f>
        <v>0</v>
      </c>
      <c r="N57" s="20" t="str">
        <f t="shared" si="1"/>
        <v>-</v>
      </c>
      <c r="O57" s="19">
        <f>IF(E57="","",raw_data!G49)</f>
        <v>0</v>
      </c>
      <c r="P57" s="20" t="str">
        <f t="shared" si="3"/>
        <v>-</v>
      </c>
      <c r="Q57" s="19" t="str">
        <f>IF(F57="","",raw_data!H49)</f>
        <v/>
      </c>
      <c r="R57" s="37" t="str">
        <f t="shared" si="4"/>
        <v/>
      </c>
      <c r="S57" s="41" t="str">
        <f t="shared" si="0"/>
        <v>erfüllt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2.75" customHeight="1" x14ac:dyDescent="0.2">
      <c r="A58" s="9">
        <v>11024</v>
      </c>
      <c r="B58" s="9" t="s">
        <v>32</v>
      </c>
      <c r="C58" s="9" t="s">
        <v>177</v>
      </c>
      <c r="D58" s="23"/>
      <c r="E58" s="28"/>
      <c r="F58" s="27"/>
      <c r="G58" s="30"/>
      <c r="H58" s="27"/>
      <c r="I58" s="25" t="s">
        <v>15</v>
      </c>
      <c r="J58" s="34" t="str">
        <f>IF(E58="","",raw_data!C50)</f>
        <v/>
      </c>
      <c r="K58" s="19" t="str">
        <f>IF(E58="","",raw_data!D50)</f>
        <v/>
      </c>
      <c r="L58" s="19" t="str">
        <f>IF(F58="","",raw_data!E50)</f>
        <v/>
      </c>
      <c r="M58" s="19" t="str">
        <f>IF(E58="","",raw_data!F50)</f>
        <v/>
      </c>
      <c r="N58" s="20" t="str">
        <f t="shared" si="1"/>
        <v/>
      </c>
      <c r="O58" s="19" t="str">
        <f>IF(E58="","",raw_data!G50)</f>
        <v/>
      </c>
      <c r="P58" s="20" t="str">
        <f t="shared" si="3"/>
        <v/>
      </c>
      <c r="Q58" s="19" t="str">
        <f>IF(F58="","",raw_data!H50)</f>
        <v/>
      </c>
      <c r="R58" s="37" t="str">
        <f t="shared" si="4"/>
        <v/>
      </c>
      <c r="S58" s="41" t="str">
        <f t="shared" si="0"/>
        <v/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2.75" customHeight="1" x14ac:dyDescent="0.2">
      <c r="A59" s="9">
        <v>11025</v>
      </c>
      <c r="B59" s="9" t="s">
        <v>32</v>
      </c>
      <c r="C59" s="9" t="s">
        <v>178</v>
      </c>
      <c r="D59" s="23"/>
      <c r="E59" s="28"/>
      <c r="F59" s="27"/>
      <c r="G59" s="30"/>
      <c r="H59" s="27"/>
      <c r="I59" s="25" t="s">
        <v>15</v>
      </c>
      <c r="J59" s="34" t="str">
        <f>IF(E59="","",raw_data!C51)</f>
        <v/>
      </c>
      <c r="K59" s="19" t="str">
        <f>IF(E59="","",raw_data!D51)</f>
        <v/>
      </c>
      <c r="L59" s="19" t="str">
        <f>IF(F59="","",raw_data!E51)</f>
        <v/>
      </c>
      <c r="M59" s="19" t="str">
        <f>IF(E59="","",raw_data!F51)</f>
        <v/>
      </c>
      <c r="N59" s="20" t="str">
        <f t="shared" si="1"/>
        <v/>
      </c>
      <c r="O59" s="19" t="str">
        <f>IF(E59="","",raw_data!G51)</f>
        <v/>
      </c>
      <c r="P59" s="20" t="str">
        <f t="shared" si="3"/>
        <v/>
      </c>
      <c r="Q59" s="19" t="str">
        <f>IF(F59="","",raw_data!H51)</f>
        <v/>
      </c>
      <c r="R59" s="37" t="str">
        <f t="shared" si="4"/>
        <v/>
      </c>
      <c r="S59" s="41" t="str">
        <f t="shared" si="0"/>
        <v/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2.75" customHeight="1" x14ac:dyDescent="0.2">
      <c r="A60" s="9">
        <v>11026</v>
      </c>
      <c r="B60" s="9" t="s">
        <v>32</v>
      </c>
      <c r="C60" s="9" t="s">
        <v>9</v>
      </c>
      <c r="D60" s="23"/>
      <c r="E60" s="28">
        <v>1</v>
      </c>
      <c r="F60" s="27">
        <v>1</v>
      </c>
      <c r="G60" s="30" t="s">
        <v>155</v>
      </c>
      <c r="H60" s="27" t="s">
        <v>155</v>
      </c>
      <c r="I60" s="25" t="s">
        <v>15</v>
      </c>
      <c r="J60" s="34">
        <f>IF(E60="","",raw_data!C52)</f>
        <v>0</v>
      </c>
      <c r="K60" s="19">
        <f>IF(E60="","",raw_data!D52)</f>
        <v>0</v>
      </c>
      <c r="L60" s="19">
        <f>IF(F60="","",raw_data!E52)</f>
        <v>0</v>
      </c>
      <c r="M60" s="19">
        <f>IF(E60="","",raw_data!F52)</f>
        <v>0</v>
      </c>
      <c r="N60" s="20" t="str">
        <f t="shared" si="1"/>
        <v>-</v>
      </c>
      <c r="O60" s="19">
        <f>IF(E60="","",raw_data!G52)</f>
        <v>0</v>
      </c>
      <c r="P60" s="20" t="str">
        <f t="shared" si="3"/>
        <v>-</v>
      </c>
      <c r="Q60" s="19">
        <f>IF(F60="","",raw_data!H52)</f>
        <v>0</v>
      </c>
      <c r="R60" s="37" t="str">
        <f t="shared" si="4"/>
        <v>-</v>
      </c>
      <c r="S60" s="41" t="str">
        <f t="shared" si="0"/>
        <v>erfüllt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2.75" customHeight="1" x14ac:dyDescent="0.2">
      <c r="A61" s="9">
        <v>11027</v>
      </c>
      <c r="B61" s="9" t="s">
        <v>32</v>
      </c>
      <c r="C61" s="9" t="s">
        <v>41</v>
      </c>
      <c r="D61" s="23"/>
      <c r="E61" s="28"/>
      <c r="F61" s="27"/>
      <c r="G61" s="30"/>
      <c r="H61" s="27"/>
      <c r="I61" s="25" t="s">
        <v>30</v>
      </c>
      <c r="J61" s="34" t="str">
        <f>IF(E61="","",raw_data!C53)</f>
        <v/>
      </c>
      <c r="K61" s="19" t="str">
        <f>IF(E61="","",raw_data!D53)</f>
        <v/>
      </c>
      <c r="L61" s="19" t="str">
        <f>IF(F61="","",raw_data!E53)</f>
        <v/>
      </c>
      <c r="M61" s="19" t="str">
        <f>IF(E61="","",raw_data!F53)</f>
        <v/>
      </c>
      <c r="N61" s="20" t="str">
        <f t="shared" si="1"/>
        <v/>
      </c>
      <c r="O61" s="19" t="str">
        <f>IF(E61="","",raw_data!G53)</f>
        <v/>
      </c>
      <c r="P61" s="20" t="str">
        <f t="shared" si="3"/>
        <v/>
      </c>
      <c r="Q61" s="19" t="str">
        <f>IF(F61="","",raw_data!H53)</f>
        <v/>
      </c>
      <c r="R61" s="37" t="str">
        <f t="shared" si="4"/>
        <v/>
      </c>
      <c r="S61" s="41" t="str">
        <f t="shared" si="0"/>
        <v/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2.75" customHeight="1" x14ac:dyDescent="0.2">
      <c r="A62" s="9">
        <v>11028</v>
      </c>
      <c r="B62" s="9" t="s">
        <v>32</v>
      </c>
      <c r="C62" s="9" t="s">
        <v>10</v>
      </c>
      <c r="D62" s="23"/>
      <c r="E62" s="28"/>
      <c r="F62" s="27"/>
      <c r="G62" s="30"/>
      <c r="H62" s="27"/>
      <c r="I62" s="25" t="s">
        <v>34</v>
      </c>
      <c r="J62" s="34" t="str">
        <f>IF(E62="","",raw_data!C54)</f>
        <v/>
      </c>
      <c r="K62" s="19" t="str">
        <f>IF(E62="","",raw_data!D54)</f>
        <v/>
      </c>
      <c r="L62" s="19" t="str">
        <f>IF(F62="","",raw_data!E54)</f>
        <v/>
      </c>
      <c r="M62" s="19" t="str">
        <f>IF(E62="","",raw_data!F54)</f>
        <v/>
      </c>
      <c r="N62" s="20" t="str">
        <f t="shared" si="1"/>
        <v/>
      </c>
      <c r="O62" s="19" t="str">
        <f>IF(E62="","",raw_data!G54)</f>
        <v/>
      </c>
      <c r="P62" s="20" t="str">
        <f t="shared" si="3"/>
        <v/>
      </c>
      <c r="Q62" s="19" t="str">
        <f>IF(F62="","",raw_data!H54)</f>
        <v/>
      </c>
      <c r="R62" s="37" t="str">
        <f t="shared" si="4"/>
        <v/>
      </c>
      <c r="S62" s="41" t="str">
        <f t="shared" si="0"/>
        <v/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2.75" customHeight="1" x14ac:dyDescent="0.2">
      <c r="A63" s="9">
        <v>11029</v>
      </c>
      <c r="B63" s="9" t="s">
        <v>32</v>
      </c>
      <c r="C63" s="9" t="s">
        <v>179</v>
      </c>
      <c r="D63" s="23"/>
      <c r="E63" s="28">
        <v>1</v>
      </c>
      <c r="F63" s="27"/>
      <c r="G63" s="30" t="s">
        <v>387</v>
      </c>
      <c r="H63" s="27"/>
      <c r="I63" s="25" t="s">
        <v>15</v>
      </c>
      <c r="J63" s="34">
        <f>IF(E63="","",raw_data!C55)</f>
        <v>0</v>
      </c>
      <c r="K63" s="19">
        <f>IF(E63="","",raw_data!D55)</f>
        <v>0</v>
      </c>
      <c r="L63" s="19" t="str">
        <f>IF(F63="","",raw_data!E55)</f>
        <v/>
      </c>
      <c r="M63" s="19">
        <f>IF(E63="","",raw_data!F55)</f>
        <v>0</v>
      </c>
      <c r="N63" s="20" t="str">
        <f t="shared" si="1"/>
        <v>-</v>
      </c>
      <c r="O63" s="19">
        <f>IF(E63="","",raw_data!G55)</f>
        <v>0</v>
      </c>
      <c r="P63" s="20" t="str">
        <f t="shared" si="3"/>
        <v>-</v>
      </c>
      <c r="Q63" s="19" t="str">
        <f>IF(F63="","",raw_data!H55)</f>
        <v/>
      </c>
      <c r="R63" s="37" t="str">
        <f t="shared" si="4"/>
        <v/>
      </c>
      <c r="S63" s="41" t="str">
        <f t="shared" si="0"/>
        <v>erfüllt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2.75" customHeight="1" x14ac:dyDescent="0.2">
      <c r="A64" s="9">
        <v>11030</v>
      </c>
      <c r="B64" s="9" t="s">
        <v>32</v>
      </c>
      <c r="C64" s="9" t="s">
        <v>180</v>
      </c>
      <c r="D64" s="23"/>
      <c r="E64" s="30"/>
      <c r="F64" s="31"/>
      <c r="G64" s="30"/>
      <c r="H64" s="31"/>
      <c r="I64" s="25" t="s">
        <v>15</v>
      </c>
      <c r="J64" s="34" t="str">
        <f>IF(E64="","",raw_data!C56)</f>
        <v/>
      </c>
      <c r="K64" s="19" t="str">
        <f>IF(E64="","",raw_data!D56)</f>
        <v/>
      </c>
      <c r="L64" s="19" t="str">
        <f>IF(F64="","",raw_data!E56)</f>
        <v/>
      </c>
      <c r="M64" s="19" t="str">
        <f>IF(E64="","",raw_data!F56)</f>
        <v/>
      </c>
      <c r="N64" s="20" t="str">
        <f t="shared" si="1"/>
        <v/>
      </c>
      <c r="O64" s="19" t="str">
        <f>IF(E64="","",raw_data!G56)</f>
        <v/>
      </c>
      <c r="P64" s="20" t="str">
        <f t="shared" si="3"/>
        <v/>
      </c>
      <c r="Q64" s="19" t="str">
        <f>IF(F64="","",raw_data!H56)</f>
        <v/>
      </c>
      <c r="R64" s="37" t="str">
        <f t="shared" si="4"/>
        <v/>
      </c>
      <c r="S64" s="41" t="str">
        <f t="shared" si="0"/>
        <v/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2.75" customHeight="1" x14ac:dyDescent="0.2">
      <c r="A65" s="9">
        <v>11031</v>
      </c>
      <c r="B65" s="9" t="s">
        <v>32</v>
      </c>
      <c r="C65" s="9" t="s">
        <v>42</v>
      </c>
      <c r="D65" s="23"/>
      <c r="E65" s="30"/>
      <c r="F65" s="31"/>
      <c r="G65" s="30"/>
      <c r="H65" s="31"/>
      <c r="I65" s="25" t="s">
        <v>15</v>
      </c>
      <c r="J65" s="34" t="str">
        <f>IF(E65="","",raw_data!C57)</f>
        <v/>
      </c>
      <c r="K65" s="19" t="str">
        <f>IF(E65="","",raw_data!D57)</f>
        <v/>
      </c>
      <c r="L65" s="19" t="str">
        <f>IF(F65="","",raw_data!E57)</f>
        <v/>
      </c>
      <c r="M65" s="19" t="str">
        <f>IF(E65="","",raw_data!F57)</f>
        <v/>
      </c>
      <c r="N65" s="20" t="str">
        <f t="shared" si="1"/>
        <v/>
      </c>
      <c r="O65" s="19" t="str">
        <f>IF(E65="","",raw_data!G57)</f>
        <v/>
      </c>
      <c r="P65" s="20" t="str">
        <f t="shared" si="3"/>
        <v/>
      </c>
      <c r="Q65" s="19" t="str">
        <f>IF(F65="","",raw_data!H57)</f>
        <v/>
      </c>
      <c r="R65" s="37" t="str">
        <f t="shared" si="4"/>
        <v/>
      </c>
      <c r="S65" s="41" t="str">
        <f t="shared" si="0"/>
        <v/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2.75" customHeight="1" x14ac:dyDescent="0.2">
      <c r="A66" s="9" t="s">
        <v>398</v>
      </c>
      <c r="B66" s="9" t="s">
        <v>32</v>
      </c>
      <c r="C66" s="9" t="s">
        <v>43</v>
      </c>
      <c r="D66" s="23"/>
      <c r="E66" s="28">
        <v>1</v>
      </c>
      <c r="F66" s="27">
        <v>1</v>
      </c>
      <c r="G66" s="30" t="s">
        <v>155</v>
      </c>
      <c r="H66" s="27" t="s">
        <v>155</v>
      </c>
      <c r="I66" s="25" t="s">
        <v>15</v>
      </c>
      <c r="J66" s="34">
        <f>IF(E66="","",raw_data!C58)</f>
        <v>0</v>
      </c>
      <c r="K66" s="19">
        <f>IF(E66="","",raw_data!D58)</f>
        <v>0</v>
      </c>
      <c r="L66" s="19">
        <f>IF(F66="","",raw_data!E58)</f>
        <v>0</v>
      </c>
      <c r="M66" s="19">
        <f>IF(E66="","",raw_data!F58)</f>
        <v>0</v>
      </c>
      <c r="N66" s="20" t="str">
        <f t="shared" si="1"/>
        <v>-</v>
      </c>
      <c r="O66" s="19">
        <f>IF(E66="","",raw_data!G58)</f>
        <v>0</v>
      </c>
      <c r="P66" s="20" t="str">
        <f t="shared" si="3"/>
        <v>-</v>
      </c>
      <c r="Q66" s="19">
        <f>IF(F66="","",raw_data!H58)</f>
        <v>0</v>
      </c>
      <c r="R66" s="37" t="str">
        <f t="shared" si="4"/>
        <v>-</v>
      </c>
      <c r="S66" s="41" t="str">
        <f t="shared" si="0"/>
        <v>erfüllt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2.75" customHeight="1" x14ac:dyDescent="0.2">
      <c r="A67" s="9" t="s">
        <v>399</v>
      </c>
      <c r="B67" s="9" t="s">
        <v>32</v>
      </c>
      <c r="C67" s="9" t="s">
        <v>43</v>
      </c>
      <c r="D67" s="23" t="s">
        <v>377</v>
      </c>
      <c r="E67" s="28">
        <v>0.5</v>
      </c>
      <c r="F67" s="27"/>
      <c r="G67" s="30" t="s">
        <v>155</v>
      </c>
      <c r="H67" s="27"/>
      <c r="I67" s="25" t="s">
        <v>15</v>
      </c>
      <c r="J67" s="34">
        <f>IF(E67="","",raw_data!C59)</f>
        <v>0</v>
      </c>
      <c r="K67" s="19">
        <f>IF(E67="","",raw_data!D59)</f>
        <v>0</v>
      </c>
      <c r="L67" s="19" t="str">
        <f>IF(F67="","",raw_data!E59)</f>
        <v/>
      </c>
      <c r="M67" s="19">
        <f>IF(E67="","",raw_data!F59)</f>
        <v>0</v>
      </c>
      <c r="N67" s="20" t="str">
        <f t="shared" si="1"/>
        <v>-</v>
      </c>
      <c r="O67" s="19">
        <f>IF(E67="","",raw_data!G59)</f>
        <v>0</v>
      </c>
      <c r="P67" s="20" t="str">
        <f t="shared" si="3"/>
        <v>-</v>
      </c>
      <c r="Q67" s="19" t="str">
        <f>IF(F67="","",raw_data!H59)</f>
        <v/>
      </c>
      <c r="R67" s="37" t="str">
        <f t="shared" si="4"/>
        <v/>
      </c>
      <c r="S67" s="41" t="str">
        <f t="shared" si="0"/>
        <v>erfüllt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2.75" customHeight="1" x14ac:dyDescent="0.2">
      <c r="A68" s="9" t="s">
        <v>400</v>
      </c>
      <c r="B68" s="9" t="s">
        <v>32</v>
      </c>
      <c r="C68" s="9" t="s">
        <v>364</v>
      </c>
      <c r="D68" s="23"/>
      <c r="E68" s="28">
        <v>1</v>
      </c>
      <c r="F68" s="27">
        <v>1</v>
      </c>
      <c r="G68" s="30" t="s">
        <v>155</v>
      </c>
      <c r="H68" s="27" t="s">
        <v>155</v>
      </c>
      <c r="I68" s="25" t="s">
        <v>15</v>
      </c>
      <c r="J68" s="34">
        <f>IF(E68="","",raw_data!C60)</f>
        <v>0</v>
      </c>
      <c r="K68" s="19">
        <f>IF(E68="","",raw_data!D60)</f>
        <v>0</v>
      </c>
      <c r="L68" s="19">
        <f>IF(F68="","",raw_data!E60)</f>
        <v>0</v>
      </c>
      <c r="M68" s="19">
        <f>IF(E68="","",raw_data!F60)</f>
        <v>0</v>
      </c>
      <c r="N68" s="20" t="str">
        <f t="shared" si="1"/>
        <v>-</v>
      </c>
      <c r="O68" s="19">
        <f>IF(E68="","",raw_data!G60)</f>
        <v>0</v>
      </c>
      <c r="P68" s="20" t="str">
        <f t="shared" si="3"/>
        <v>-</v>
      </c>
      <c r="Q68" s="19">
        <f>IF(F68="","",raw_data!H60)</f>
        <v>0</v>
      </c>
      <c r="R68" s="37" t="str">
        <f t="shared" si="4"/>
        <v>-</v>
      </c>
      <c r="S68" s="41" t="str">
        <f t="shared" si="0"/>
        <v>erfüllt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2.75" customHeight="1" x14ac:dyDescent="0.2">
      <c r="A69" s="9" t="s">
        <v>401</v>
      </c>
      <c r="B69" s="9" t="s">
        <v>32</v>
      </c>
      <c r="C69" s="9" t="s">
        <v>364</v>
      </c>
      <c r="D69" s="23" t="s">
        <v>377</v>
      </c>
      <c r="E69" s="28">
        <v>0.5</v>
      </c>
      <c r="F69" s="27"/>
      <c r="G69" s="30" t="s">
        <v>155</v>
      </c>
      <c r="H69" s="27"/>
      <c r="I69" s="25" t="s">
        <v>15</v>
      </c>
      <c r="J69" s="34">
        <f>IF(E69="","",raw_data!C61)</f>
        <v>0</v>
      </c>
      <c r="K69" s="19">
        <f>IF(E69="","",raw_data!D61)</f>
        <v>0</v>
      </c>
      <c r="L69" s="19" t="str">
        <f>IF(F69="","",raw_data!E61)</f>
        <v/>
      </c>
      <c r="M69" s="19">
        <f>IF(E69="","",raw_data!F61)</f>
        <v>0</v>
      </c>
      <c r="N69" s="20" t="str">
        <f t="shared" si="1"/>
        <v>-</v>
      </c>
      <c r="O69" s="19">
        <f>IF(E69="","",raw_data!G61)</f>
        <v>0</v>
      </c>
      <c r="P69" s="20" t="str">
        <f t="shared" si="3"/>
        <v>-</v>
      </c>
      <c r="Q69" s="19" t="str">
        <f>IF(F69="","",raw_data!H61)</f>
        <v/>
      </c>
      <c r="R69" s="37" t="str">
        <f t="shared" si="4"/>
        <v/>
      </c>
      <c r="S69" s="41" t="str">
        <f t="shared" si="0"/>
        <v>erfüllt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2.75" customHeight="1" x14ac:dyDescent="0.2">
      <c r="A70" s="9" t="s">
        <v>437</v>
      </c>
      <c r="B70" s="9" t="s">
        <v>44</v>
      </c>
      <c r="C70" s="9" t="s">
        <v>31</v>
      </c>
      <c r="D70" s="23"/>
      <c r="E70" s="28">
        <v>1</v>
      </c>
      <c r="F70" s="27">
        <v>1</v>
      </c>
      <c r="G70" s="30" t="s">
        <v>155</v>
      </c>
      <c r="H70" s="27" t="s">
        <v>155</v>
      </c>
      <c r="I70" s="25" t="s">
        <v>15</v>
      </c>
      <c r="J70" s="34">
        <f>IF(E70="","",raw_data!C62)</f>
        <v>0</v>
      </c>
      <c r="K70" s="19">
        <f>IF(E70="","",raw_data!D62)</f>
        <v>0</v>
      </c>
      <c r="L70" s="19">
        <f>IF(F70="","",raw_data!E62)</f>
        <v>0</v>
      </c>
      <c r="M70" s="19">
        <f>IF(E70="","",raw_data!F62)</f>
        <v>0</v>
      </c>
      <c r="N70" s="20" t="str">
        <f t="shared" si="1"/>
        <v>-</v>
      </c>
      <c r="O70" s="19">
        <f>IF(E70="","",raw_data!G62)</f>
        <v>0</v>
      </c>
      <c r="P70" s="20" t="str">
        <f t="shared" si="3"/>
        <v>-</v>
      </c>
      <c r="Q70" s="19">
        <f>IF(F70="","",raw_data!H62)</f>
        <v>0</v>
      </c>
      <c r="R70" s="37" t="str">
        <f t="shared" si="4"/>
        <v>-</v>
      </c>
      <c r="S70" s="41" t="str">
        <f t="shared" si="0"/>
        <v>erfüllt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2.75" customHeight="1" x14ac:dyDescent="0.2">
      <c r="A71" s="9" t="s">
        <v>438</v>
      </c>
      <c r="B71" s="9" t="s">
        <v>44</v>
      </c>
      <c r="C71" s="9" t="s">
        <v>31</v>
      </c>
      <c r="D71" s="23" t="s">
        <v>377</v>
      </c>
      <c r="E71" s="28">
        <v>0.9</v>
      </c>
      <c r="F71" s="27">
        <v>0.5</v>
      </c>
      <c r="G71" s="30" t="s">
        <v>155</v>
      </c>
      <c r="H71" s="27" t="s">
        <v>155</v>
      </c>
      <c r="I71" s="25" t="s">
        <v>15</v>
      </c>
      <c r="J71" s="34">
        <f>IF(E71="","",raw_data!C63)</f>
        <v>0</v>
      </c>
      <c r="K71" s="19">
        <f>IF(E71="","",raw_data!D63)</f>
        <v>0</v>
      </c>
      <c r="L71" s="19">
        <f>IF(F71="","",raw_data!E63)</f>
        <v>0</v>
      </c>
      <c r="M71" s="19">
        <f>IF(E71="","",raw_data!F63)</f>
        <v>0</v>
      </c>
      <c r="N71" s="20" t="str">
        <f t="shared" si="1"/>
        <v>-</v>
      </c>
      <c r="O71" s="19">
        <f>IF(E71="","",raw_data!G63)</f>
        <v>0</v>
      </c>
      <c r="P71" s="20" t="str">
        <f t="shared" si="3"/>
        <v>-</v>
      </c>
      <c r="Q71" s="19">
        <f>IF(F71="","",raw_data!H63)</f>
        <v>0</v>
      </c>
      <c r="R71" s="37" t="str">
        <f t="shared" si="4"/>
        <v>-</v>
      </c>
      <c r="S71" s="41" t="str">
        <f t="shared" si="0"/>
        <v>erfüllt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2.75" customHeight="1" x14ac:dyDescent="0.2">
      <c r="A72" s="9" t="s">
        <v>439</v>
      </c>
      <c r="B72" s="9" t="s">
        <v>44</v>
      </c>
      <c r="C72" s="9" t="s">
        <v>33</v>
      </c>
      <c r="D72" s="23"/>
      <c r="E72" s="28">
        <v>1</v>
      </c>
      <c r="F72" s="27"/>
      <c r="G72" s="30" t="s">
        <v>155</v>
      </c>
      <c r="H72" s="27"/>
      <c r="I72" s="25" t="s">
        <v>15</v>
      </c>
      <c r="J72" s="34">
        <f>IF(E72="","",raw_data!C64)</f>
        <v>0</v>
      </c>
      <c r="K72" s="19">
        <f>IF(E72="","",raw_data!D64)</f>
        <v>0</v>
      </c>
      <c r="L72" s="19" t="str">
        <f>IF(F72="","",raw_data!E64)</f>
        <v/>
      </c>
      <c r="M72" s="19">
        <f>IF(E72="","",raw_data!F64)</f>
        <v>0</v>
      </c>
      <c r="N72" s="20" t="str">
        <f t="shared" si="1"/>
        <v>-</v>
      </c>
      <c r="O72" s="19">
        <f>IF(E72="","",raw_data!G64)</f>
        <v>0</v>
      </c>
      <c r="P72" s="20" t="str">
        <f t="shared" si="3"/>
        <v>-</v>
      </c>
      <c r="Q72" s="19" t="str">
        <f>IF(F72="","",raw_data!H64)</f>
        <v/>
      </c>
      <c r="R72" s="37" t="str">
        <f t="shared" si="4"/>
        <v/>
      </c>
      <c r="S72" s="41" t="str">
        <f t="shared" si="0"/>
        <v>erfüllt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2.75" customHeight="1" x14ac:dyDescent="0.2">
      <c r="A73" s="9" t="s">
        <v>440</v>
      </c>
      <c r="B73" s="9" t="s">
        <v>44</v>
      </c>
      <c r="C73" s="9" t="s">
        <v>33</v>
      </c>
      <c r="D73" s="23" t="s">
        <v>378</v>
      </c>
      <c r="E73" s="28">
        <v>0.5</v>
      </c>
      <c r="F73" s="27"/>
      <c r="G73" s="30" t="s">
        <v>387</v>
      </c>
      <c r="H73" s="27"/>
      <c r="I73" s="25" t="s">
        <v>15</v>
      </c>
      <c r="J73" s="34">
        <f>IF(E73="","",raw_data!C65)</f>
        <v>0</v>
      </c>
      <c r="K73" s="19">
        <f>IF(E73="","",raw_data!D65)</f>
        <v>0</v>
      </c>
      <c r="L73" s="19" t="str">
        <f>IF(F73="","",raw_data!E65)</f>
        <v/>
      </c>
      <c r="M73" s="19">
        <f>IF(E73="","",raw_data!F65)</f>
        <v>0</v>
      </c>
      <c r="N73" s="20" t="str">
        <f t="shared" si="1"/>
        <v>-</v>
      </c>
      <c r="O73" s="19">
        <f>IF(E73="","",raw_data!G65)</f>
        <v>0</v>
      </c>
      <c r="P73" s="20" t="str">
        <f t="shared" si="3"/>
        <v>-</v>
      </c>
      <c r="Q73" s="19" t="str">
        <f>IF(F73="","",raw_data!H65)</f>
        <v/>
      </c>
      <c r="R73" s="37" t="str">
        <f t="shared" si="4"/>
        <v/>
      </c>
      <c r="S73" s="41" t="str">
        <f t="shared" si="0"/>
        <v>erfüllt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2.75" customHeight="1" x14ac:dyDescent="0.2">
      <c r="A74" s="9" t="s">
        <v>403</v>
      </c>
      <c r="B74" s="9" t="s">
        <v>44</v>
      </c>
      <c r="C74" s="9" t="s">
        <v>170</v>
      </c>
      <c r="D74" s="23"/>
      <c r="E74" s="28">
        <v>1</v>
      </c>
      <c r="F74" s="27">
        <v>1</v>
      </c>
      <c r="G74" s="30" t="s">
        <v>155</v>
      </c>
      <c r="H74" s="27" t="s">
        <v>155</v>
      </c>
      <c r="I74" s="25" t="s">
        <v>34</v>
      </c>
      <c r="J74" s="34">
        <f>IF(E74="","",raw_data!C66)</f>
        <v>0</v>
      </c>
      <c r="K74" s="19">
        <f>IF(E74="","",raw_data!D66)</f>
        <v>0</v>
      </c>
      <c r="L74" s="19">
        <f>IF(F74="","",raw_data!E66)</f>
        <v>0</v>
      </c>
      <c r="M74" s="19">
        <f>IF(E74="","",raw_data!F66)</f>
        <v>0</v>
      </c>
      <c r="N74" s="20" t="str">
        <f t="shared" si="1"/>
        <v>-</v>
      </c>
      <c r="O74" s="19">
        <f>IF(E74="","",raw_data!G66)</f>
        <v>0</v>
      </c>
      <c r="P74" s="20" t="str">
        <f t="shared" si="3"/>
        <v>-</v>
      </c>
      <c r="Q74" s="19">
        <f>IF(F74="","",raw_data!H66)</f>
        <v>0</v>
      </c>
      <c r="R74" s="37" t="str">
        <f t="shared" si="4"/>
        <v>-</v>
      </c>
      <c r="S74" s="41" t="str">
        <f t="shared" ref="S74:S137" si="5">IF(E74="","",IF(OR(NOT(ISNUMBER(N74)),N74&lt;=(1-E74)),"erfüllt",IF(G74="Fehler","mit Fehler",IF(G74="Warnung","mit Warnung",""))))</f>
        <v>erfüllt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2.75" customHeight="1" x14ac:dyDescent="0.2">
      <c r="A75" s="9" t="s">
        <v>402</v>
      </c>
      <c r="B75" s="9" t="s">
        <v>44</v>
      </c>
      <c r="C75" s="9" t="s">
        <v>170</v>
      </c>
      <c r="D75" s="23" t="s">
        <v>377</v>
      </c>
      <c r="E75" s="28">
        <v>0.5</v>
      </c>
      <c r="F75" s="27"/>
      <c r="G75" s="30" t="s">
        <v>155</v>
      </c>
      <c r="H75" s="27"/>
      <c r="I75" s="25" t="s">
        <v>34</v>
      </c>
      <c r="J75" s="34">
        <f>IF(E75="","",raw_data!C67)</f>
        <v>0</v>
      </c>
      <c r="K75" s="19">
        <f>IF(E75="","",raw_data!D67)</f>
        <v>0</v>
      </c>
      <c r="L75" s="19" t="str">
        <f>IF(F75="","",raw_data!E67)</f>
        <v/>
      </c>
      <c r="M75" s="19">
        <f>IF(E75="","",raw_data!F67)</f>
        <v>0</v>
      </c>
      <c r="N75" s="20" t="str">
        <f t="shared" ref="N75:N138" si="6">IF(E75="","",IFERROR(M75/J75,"-"))</f>
        <v>-</v>
      </c>
      <c r="O75" s="19">
        <f>IF(E75="","",raw_data!G67)</f>
        <v>0</v>
      </c>
      <c r="P75" s="20" t="str">
        <f t="shared" si="3"/>
        <v>-</v>
      </c>
      <c r="Q75" s="19" t="str">
        <f>IF(F75="","",raw_data!H67)</f>
        <v/>
      </c>
      <c r="R75" s="37" t="str">
        <f t="shared" si="4"/>
        <v/>
      </c>
      <c r="S75" s="41" t="str">
        <f t="shared" si="5"/>
        <v>erfüllt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2.75" customHeight="1" x14ac:dyDescent="0.2">
      <c r="A76" s="9">
        <v>12004</v>
      </c>
      <c r="B76" s="9" t="s">
        <v>44</v>
      </c>
      <c r="C76" s="9" t="s">
        <v>19</v>
      </c>
      <c r="D76" s="23"/>
      <c r="E76" s="28"/>
      <c r="F76" s="27"/>
      <c r="G76" s="30"/>
      <c r="H76" s="27"/>
      <c r="I76" s="25" t="s">
        <v>15</v>
      </c>
      <c r="J76" s="34" t="str">
        <f>IF(E76="","",raw_data!C68)</f>
        <v/>
      </c>
      <c r="K76" s="19" t="str">
        <f>IF(E76="","",raw_data!D68)</f>
        <v/>
      </c>
      <c r="L76" s="19" t="str">
        <f>IF(F76="","",raw_data!E68)</f>
        <v/>
      </c>
      <c r="M76" s="19" t="str">
        <f>IF(E76="","",raw_data!F68)</f>
        <v/>
      </c>
      <c r="N76" s="20" t="str">
        <f t="shared" si="6"/>
        <v/>
      </c>
      <c r="O76" s="19" t="str">
        <f>IF(E76="","",raw_data!G68)</f>
        <v/>
      </c>
      <c r="P76" s="20" t="str">
        <f t="shared" si="3"/>
        <v/>
      </c>
      <c r="Q76" s="19" t="str">
        <f>IF(F76="","",raw_data!H68)</f>
        <v/>
      </c>
      <c r="R76" s="37" t="str">
        <f t="shared" si="4"/>
        <v/>
      </c>
      <c r="S76" s="41" t="str">
        <f t="shared" si="5"/>
        <v/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2.75" customHeight="1" x14ac:dyDescent="0.2">
      <c r="A77" s="9">
        <v>12005</v>
      </c>
      <c r="B77" s="9" t="s">
        <v>44</v>
      </c>
      <c r="C77" s="9" t="s">
        <v>171</v>
      </c>
      <c r="D77" s="23"/>
      <c r="E77" s="28">
        <v>1</v>
      </c>
      <c r="F77" s="27"/>
      <c r="G77" s="30" t="s">
        <v>387</v>
      </c>
      <c r="H77" s="27"/>
      <c r="I77" s="25" t="s">
        <v>15</v>
      </c>
      <c r="J77" s="34">
        <f>IF(E77="","",raw_data!C69)</f>
        <v>0</v>
      </c>
      <c r="K77" s="19">
        <f>IF(E77="","",raw_data!D69)</f>
        <v>0</v>
      </c>
      <c r="L77" s="19" t="str">
        <f>IF(F77="","",raw_data!E69)</f>
        <v/>
      </c>
      <c r="M77" s="19">
        <f>IF(E77="","",raw_data!F69)</f>
        <v>0</v>
      </c>
      <c r="N77" s="20" t="str">
        <f t="shared" si="6"/>
        <v>-</v>
      </c>
      <c r="O77" s="19">
        <f>IF(E77="","",raw_data!G69)</f>
        <v>0</v>
      </c>
      <c r="P77" s="20" t="str">
        <f t="shared" si="3"/>
        <v>-</v>
      </c>
      <c r="Q77" s="19" t="str">
        <f>IF(F77="","",raw_data!H69)</f>
        <v/>
      </c>
      <c r="R77" s="37" t="str">
        <f t="shared" si="4"/>
        <v/>
      </c>
      <c r="S77" s="41" t="str">
        <f t="shared" si="5"/>
        <v>erfüllt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2.75" customHeight="1" x14ac:dyDescent="0.2">
      <c r="A78" s="9" t="s">
        <v>404</v>
      </c>
      <c r="B78" s="9" t="s">
        <v>44</v>
      </c>
      <c r="C78" s="9" t="s">
        <v>6</v>
      </c>
      <c r="D78" s="23"/>
      <c r="E78" s="28"/>
      <c r="F78" s="27"/>
      <c r="G78" s="30"/>
      <c r="H78" s="27"/>
      <c r="I78" s="25" t="s">
        <v>15</v>
      </c>
      <c r="J78" s="34" t="str">
        <f>IF(E78="","",raw_data!C70)</f>
        <v/>
      </c>
      <c r="K78" s="19" t="str">
        <f>IF(E78="","",raw_data!D70)</f>
        <v/>
      </c>
      <c r="L78" s="19" t="str">
        <f>IF(F78="","",raw_data!E70)</f>
        <v/>
      </c>
      <c r="M78" s="19" t="str">
        <f>IF(E78="","",raw_data!F70)</f>
        <v/>
      </c>
      <c r="N78" s="20" t="str">
        <f t="shared" si="6"/>
        <v/>
      </c>
      <c r="O78" s="19" t="str">
        <f>IF(E78="","",raw_data!G70)</f>
        <v/>
      </c>
      <c r="P78" s="20" t="str">
        <f t="shared" si="3"/>
        <v/>
      </c>
      <c r="Q78" s="19" t="str">
        <f>IF(F78="","",raw_data!H70)</f>
        <v/>
      </c>
      <c r="R78" s="37" t="str">
        <f t="shared" si="4"/>
        <v/>
      </c>
      <c r="S78" s="41" t="str">
        <f t="shared" si="5"/>
        <v/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2.75" customHeight="1" x14ac:dyDescent="0.2">
      <c r="A79" s="9" t="s">
        <v>405</v>
      </c>
      <c r="B79" s="9" t="s">
        <v>44</v>
      </c>
      <c r="C79" s="9" t="s">
        <v>6</v>
      </c>
      <c r="D79" s="23" t="s">
        <v>146</v>
      </c>
      <c r="E79" s="28">
        <v>1</v>
      </c>
      <c r="F79" s="27"/>
      <c r="G79" s="30" t="s">
        <v>155</v>
      </c>
      <c r="H79" s="27"/>
      <c r="I79" s="25" t="s">
        <v>15</v>
      </c>
      <c r="J79" s="34">
        <f>IF(E79="","",raw_data!C71)</f>
        <v>0</v>
      </c>
      <c r="K79" s="19">
        <f>IF(E79="","",raw_data!D71)</f>
        <v>0</v>
      </c>
      <c r="L79" s="19" t="str">
        <f>IF(F79="","",raw_data!E71)</f>
        <v/>
      </c>
      <c r="M79" s="19">
        <f>IF(E79="","",raw_data!F71)</f>
        <v>0</v>
      </c>
      <c r="N79" s="20" t="str">
        <f t="shared" si="6"/>
        <v>-</v>
      </c>
      <c r="O79" s="19">
        <f>IF(E79="","",raw_data!G71)</f>
        <v>0</v>
      </c>
      <c r="P79" s="20" t="str">
        <f t="shared" si="3"/>
        <v>-</v>
      </c>
      <c r="Q79" s="19" t="str">
        <f>IF(F79="","",raw_data!H71)</f>
        <v/>
      </c>
      <c r="R79" s="37" t="str">
        <f t="shared" si="4"/>
        <v/>
      </c>
      <c r="S79" s="41" t="str">
        <f t="shared" si="5"/>
        <v>erfüllt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2.75" customHeight="1" x14ac:dyDescent="0.2">
      <c r="A80" s="9">
        <v>12007</v>
      </c>
      <c r="B80" s="9" t="s">
        <v>44</v>
      </c>
      <c r="C80" s="9" t="s">
        <v>160</v>
      </c>
      <c r="D80" s="23"/>
      <c r="E80" s="28"/>
      <c r="F80" s="27"/>
      <c r="G80" s="30"/>
      <c r="H80" s="27"/>
      <c r="I80" s="25" t="s">
        <v>15</v>
      </c>
      <c r="J80" s="34" t="str">
        <f>IF(E80="","",raw_data!C72)</f>
        <v/>
      </c>
      <c r="K80" s="19" t="str">
        <f>IF(E80="","",raw_data!D72)</f>
        <v/>
      </c>
      <c r="L80" s="19" t="str">
        <f>IF(F80="","",raw_data!E72)</f>
        <v/>
      </c>
      <c r="M80" s="19" t="str">
        <f>IF(E80="","",raw_data!F72)</f>
        <v/>
      </c>
      <c r="N80" s="20" t="str">
        <f t="shared" si="6"/>
        <v/>
      </c>
      <c r="O80" s="19" t="str">
        <f>IF(E80="","",raw_data!G72)</f>
        <v/>
      </c>
      <c r="P80" s="20" t="str">
        <f t="shared" si="3"/>
        <v/>
      </c>
      <c r="Q80" s="19" t="str">
        <f>IF(F80="","",raw_data!H72)</f>
        <v/>
      </c>
      <c r="R80" s="37" t="str">
        <f t="shared" si="4"/>
        <v/>
      </c>
      <c r="S80" s="41" t="str">
        <f t="shared" si="5"/>
        <v/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2.75" customHeight="1" x14ac:dyDescent="0.2">
      <c r="A81" s="9">
        <v>12008</v>
      </c>
      <c r="B81" s="9" t="s">
        <v>44</v>
      </c>
      <c r="C81" s="9" t="s">
        <v>161</v>
      </c>
      <c r="D81" s="23"/>
      <c r="E81" s="28"/>
      <c r="F81" s="27"/>
      <c r="G81" s="30"/>
      <c r="H81" s="27"/>
      <c r="I81" s="25" t="s">
        <v>15</v>
      </c>
      <c r="J81" s="34" t="str">
        <f>IF(E81="","",raw_data!C73)</f>
        <v/>
      </c>
      <c r="K81" s="19" t="str">
        <f>IF(E81="","",raw_data!D73)</f>
        <v/>
      </c>
      <c r="L81" s="19" t="str">
        <f>IF(F81="","",raw_data!E73)</f>
        <v/>
      </c>
      <c r="M81" s="19" t="str">
        <f>IF(E81="","",raw_data!F73)</f>
        <v/>
      </c>
      <c r="N81" s="20" t="str">
        <f t="shared" si="6"/>
        <v/>
      </c>
      <c r="O81" s="19" t="str">
        <f>IF(E81="","",raw_data!G73)</f>
        <v/>
      </c>
      <c r="P81" s="20" t="str">
        <f t="shared" si="3"/>
        <v/>
      </c>
      <c r="Q81" s="19" t="str">
        <f>IF(F81="","",raw_data!H73)</f>
        <v/>
      </c>
      <c r="R81" s="37" t="str">
        <f t="shared" si="4"/>
        <v/>
      </c>
      <c r="S81" s="41" t="str">
        <f t="shared" si="5"/>
        <v/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2.75" customHeight="1" x14ac:dyDescent="0.2">
      <c r="A82" s="9">
        <v>12009</v>
      </c>
      <c r="B82" s="9" t="s">
        <v>44</v>
      </c>
      <c r="C82" s="9" t="s">
        <v>365</v>
      </c>
      <c r="D82" s="23"/>
      <c r="E82" s="28"/>
      <c r="F82" s="27"/>
      <c r="G82" s="30"/>
      <c r="H82" s="27"/>
      <c r="I82" s="25" t="s">
        <v>15</v>
      </c>
      <c r="J82" s="34" t="str">
        <f>IF(E82="","",raw_data!C74)</f>
        <v/>
      </c>
      <c r="K82" s="19" t="str">
        <f>IF(E82="","",raw_data!D74)</f>
        <v/>
      </c>
      <c r="L82" s="19" t="str">
        <f>IF(F82="","",raw_data!E74)</f>
        <v/>
      </c>
      <c r="M82" s="19" t="str">
        <f>IF(E82="","",raw_data!F74)</f>
        <v/>
      </c>
      <c r="N82" s="20" t="str">
        <f t="shared" si="6"/>
        <v/>
      </c>
      <c r="O82" s="19" t="str">
        <f>IF(E82="","",raw_data!G74)</f>
        <v/>
      </c>
      <c r="P82" s="20" t="str">
        <f t="shared" si="3"/>
        <v/>
      </c>
      <c r="Q82" s="19" t="str">
        <f>IF(F82="","",raw_data!H74)</f>
        <v/>
      </c>
      <c r="R82" s="37" t="str">
        <f t="shared" si="4"/>
        <v/>
      </c>
      <c r="S82" s="41" t="str">
        <f t="shared" si="5"/>
        <v/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2.75" customHeight="1" x14ac:dyDescent="0.2">
      <c r="A83" s="9">
        <v>12010</v>
      </c>
      <c r="B83" s="9" t="s">
        <v>44</v>
      </c>
      <c r="C83" s="9" t="s">
        <v>172</v>
      </c>
      <c r="D83" s="23"/>
      <c r="E83" s="28">
        <v>1</v>
      </c>
      <c r="F83" s="27">
        <v>1</v>
      </c>
      <c r="G83" s="30" t="s">
        <v>155</v>
      </c>
      <c r="H83" s="27" t="s">
        <v>155</v>
      </c>
      <c r="I83" s="25" t="s">
        <v>15</v>
      </c>
      <c r="J83" s="34">
        <f>IF(E83="","",raw_data!C75)</f>
        <v>0</v>
      </c>
      <c r="K83" s="19">
        <f>IF(E83="","",raw_data!D75)</f>
        <v>0</v>
      </c>
      <c r="L83" s="19">
        <f>IF(F83="","",raw_data!E75)</f>
        <v>0</v>
      </c>
      <c r="M83" s="19">
        <f>IF(E83="","",raw_data!F75)</f>
        <v>0</v>
      </c>
      <c r="N83" s="20" t="str">
        <f t="shared" si="6"/>
        <v>-</v>
      </c>
      <c r="O83" s="19">
        <f>IF(E83="","",raw_data!G75)</f>
        <v>0</v>
      </c>
      <c r="P83" s="20" t="str">
        <f t="shared" si="3"/>
        <v>-</v>
      </c>
      <c r="Q83" s="19">
        <f>IF(F83="","",raw_data!H75)</f>
        <v>0</v>
      </c>
      <c r="R83" s="37" t="str">
        <f t="shared" si="4"/>
        <v>-</v>
      </c>
      <c r="S83" s="41" t="str">
        <f t="shared" si="5"/>
        <v>erfüllt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2.75" customHeight="1" x14ac:dyDescent="0.2">
      <c r="A84" s="9" t="s">
        <v>441</v>
      </c>
      <c r="B84" s="9" t="s">
        <v>44</v>
      </c>
      <c r="C84" s="9" t="s">
        <v>39</v>
      </c>
      <c r="D84" s="23"/>
      <c r="E84" s="28">
        <v>1</v>
      </c>
      <c r="F84" s="27">
        <v>1</v>
      </c>
      <c r="G84" s="30" t="s">
        <v>155</v>
      </c>
      <c r="H84" s="27" t="s">
        <v>155</v>
      </c>
      <c r="I84" s="25" t="s">
        <v>15</v>
      </c>
      <c r="J84" s="34">
        <f>IF(E84="","",raw_data!C76)</f>
        <v>0</v>
      </c>
      <c r="K84" s="19">
        <f>IF(E84="","",raw_data!D76)</f>
        <v>0</v>
      </c>
      <c r="L84" s="19">
        <f>IF(F84="","",raw_data!E76)</f>
        <v>0</v>
      </c>
      <c r="M84" s="19">
        <f>IF(E84="","",raw_data!F76)</f>
        <v>0</v>
      </c>
      <c r="N84" s="20" t="str">
        <f t="shared" si="6"/>
        <v>-</v>
      </c>
      <c r="O84" s="19">
        <f>IF(E84="","",raw_data!G76)</f>
        <v>0</v>
      </c>
      <c r="P84" s="20" t="str">
        <f t="shared" si="3"/>
        <v>-</v>
      </c>
      <c r="Q84" s="19">
        <f>IF(F84="","",raw_data!H76)</f>
        <v>0</v>
      </c>
      <c r="R84" s="37" t="str">
        <f t="shared" si="4"/>
        <v>-</v>
      </c>
      <c r="S84" s="41" t="str">
        <f t="shared" si="5"/>
        <v>erfüllt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2.75" customHeight="1" x14ac:dyDescent="0.2">
      <c r="A85" s="9" t="s">
        <v>442</v>
      </c>
      <c r="B85" s="9" t="s">
        <v>44</v>
      </c>
      <c r="C85" s="9" t="s">
        <v>39</v>
      </c>
      <c r="D85" s="23" t="s">
        <v>377</v>
      </c>
      <c r="E85" s="28">
        <v>0.9</v>
      </c>
      <c r="F85" s="27">
        <v>0.5</v>
      </c>
      <c r="G85" s="30" t="s">
        <v>155</v>
      </c>
      <c r="H85" s="27" t="s">
        <v>155</v>
      </c>
      <c r="I85" s="25" t="s">
        <v>15</v>
      </c>
      <c r="J85" s="34">
        <f>IF(E85="","",raw_data!C77)</f>
        <v>0</v>
      </c>
      <c r="K85" s="19">
        <f>IF(E85="","",raw_data!D77)</f>
        <v>0</v>
      </c>
      <c r="L85" s="19">
        <f>IF(F85="","",raw_data!E77)</f>
        <v>0</v>
      </c>
      <c r="M85" s="19">
        <f>IF(E85="","",raw_data!F77)</f>
        <v>0</v>
      </c>
      <c r="N85" s="20" t="str">
        <f t="shared" si="6"/>
        <v>-</v>
      </c>
      <c r="O85" s="19">
        <f>IF(E85="","",raw_data!G77)</f>
        <v>0</v>
      </c>
      <c r="P85" s="20" t="str">
        <f t="shared" si="3"/>
        <v>-</v>
      </c>
      <c r="Q85" s="19">
        <f>IF(F85="","",raw_data!H77)</f>
        <v>0</v>
      </c>
      <c r="R85" s="37" t="str">
        <f t="shared" si="4"/>
        <v>-</v>
      </c>
      <c r="S85" s="41" t="str">
        <f t="shared" si="5"/>
        <v>erfüllt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2.75" customHeight="1" x14ac:dyDescent="0.2">
      <c r="A86" s="9" t="s">
        <v>406</v>
      </c>
      <c r="B86" s="9" t="s">
        <v>44</v>
      </c>
      <c r="C86" s="9" t="s">
        <v>174</v>
      </c>
      <c r="D86" s="23"/>
      <c r="E86" s="28">
        <v>1</v>
      </c>
      <c r="F86" s="27">
        <v>1</v>
      </c>
      <c r="G86" s="30" t="s">
        <v>155</v>
      </c>
      <c r="H86" s="27" t="s">
        <v>155</v>
      </c>
      <c r="I86" s="25" t="s">
        <v>15</v>
      </c>
      <c r="J86" s="34">
        <f>IF(E86="","",raw_data!C78)</f>
        <v>0</v>
      </c>
      <c r="K86" s="19">
        <f>IF(E86="","",raw_data!D78)</f>
        <v>0</v>
      </c>
      <c r="L86" s="19">
        <f>IF(F86="","",raw_data!E78)</f>
        <v>0</v>
      </c>
      <c r="M86" s="19">
        <f>IF(E86="","",raw_data!F78)</f>
        <v>0</v>
      </c>
      <c r="N86" s="20" t="str">
        <f t="shared" si="6"/>
        <v>-</v>
      </c>
      <c r="O86" s="19">
        <f>IF(E86="","",raw_data!G78)</f>
        <v>0</v>
      </c>
      <c r="P86" s="20" t="str">
        <f t="shared" si="3"/>
        <v>-</v>
      </c>
      <c r="Q86" s="19">
        <f>IF(F86="","",raw_data!H78)</f>
        <v>0</v>
      </c>
      <c r="R86" s="37" t="str">
        <f t="shared" si="4"/>
        <v>-</v>
      </c>
      <c r="S86" s="41" t="str">
        <f t="shared" si="5"/>
        <v>erfüllt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2.75" customHeight="1" x14ac:dyDescent="0.2">
      <c r="A87" s="9" t="s">
        <v>407</v>
      </c>
      <c r="B87" s="9" t="s">
        <v>44</v>
      </c>
      <c r="C87" s="9" t="s">
        <v>174</v>
      </c>
      <c r="D87" s="23" t="s">
        <v>377</v>
      </c>
      <c r="E87" s="28">
        <v>0.9</v>
      </c>
      <c r="F87" s="27">
        <v>0.5</v>
      </c>
      <c r="G87" s="30" t="s">
        <v>155</v>
      </c>
      <c r="H87" s="27" t="s">
        <v>155</v>
      </c>
      <c r="I87" s="25" t="s">
        <v>15</v>
      </c>
      <c r="J87" s="34">
        <f>IF(E87="","",raw_data!C79)</f>
        <v>0</v>
      </c>
      <c r="K87" s="19">
        <f>IF(E87="","",raw_data!D79)</f>
        <v>0</v>
      </c>
      <c r="L87" s="19">
        <f>IF(F87="","",raw_data!E79)</f>
        <v>0</v>
      </c>
      <c r="M87" s="19">
        <f>IF(E87="","",raw_data!F79)</f>
        <v>0</v>
      </c>
      <c r="N87" s="20" t="str">
        <f t="shared" si="6"/>
        <v>-</v>
      </c>
      <c r="O87" s="19">
        <f>IF(E87="","",raw_data!G79)</f>
        <v>0</v>
      </c>
      <c r="P87" s="20" t="str">
        <f t="shared" si="3"/>
        <v>-</v>
      </c>
      <c r="Q87" s="19">
        <f>IF(F87="","",raw_data!H79)</f>
        <v>0</v>
      </c>
      <c r="R87" s="37" t="str">
        <f t="shared" si="4"/>
        <v>-</v>
      </c>
      <c r="S87" s="41" t="str">
        <f t="shared" si="5"/>
        <v>erfüllt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2.75" customHeight="1" x14ac:dyDescent="0.2">
      <c r="A88" s="9" t="s">
        <v>408</v>
      </c>
      <c r="B88" s="9" t="s">
        <v>44</v>
      </c>
      <c r="C88" s="9" t="s">
        <v>181</v>
      </c>
      <c r="D88" s="23"/>
      <c r="E88" s="28">
        <v>1</v>
      </c>
      <c r="F88" s="27">
        <v>1</v>
      </c>
      <c r="G88" s="30" t="s">
        <v>155</v>
      </c>
      <c r="H88" s="27" t="s">
        <v>155</v>
      </c>
      <c r="I88" s="25" t="s">
        <v>15</v>
      </c>
      <c r="J88" s="34">
        <f>IF(E88="","",raw_data!C80)</f>
        <v>0</v>
      </c>
      <c r="K88" s="19">
        <f>IF(E88="","",raw_data!D80)</f>
        <v>0</v>
      </c>
      <c r="L88" s="19">
        <f>IF(F88="","",raw_data!E80)</f>
        <v>0</v>
      </c>
      <c r="M88" s="19">
        <f>IF(E88="","",raw_data!F80)</f>
        <v>0</v>
      </c>
      <c r="N88" s="20" t="str">
        <f t="shared" si="6"/>
        <v>-</v>
      </c>
      <c r="O88" s="19">
        <f>IF(E88="","",raw_data!G80)</f>
        <v>0</v>
      </c>
      <c r="P88" s="20" t="str">
        <f t="shared" si="3"/>
        <v>-</v>
      </c>
      <c r="Q88" s="19">
        <f>IF(F88="","",raw_data!H80)</f>
        <v>0</v>
      </c>
      <c r="R88" s="37" t="str">
        <f t="shared" si="4"/>
        <v>-</v>
      </c>
      <c r="S88" s="41" t="str">
        <f t="shared" si="5"/>
        <v>erfüllt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2.75" customHeight="1" x14ac:dyDescent="0.2">
      <c r="A89" s="9" t="s">
        <v>409</v>
      </c>
      <c r="B89" s="9" t="s">
        <v>44</v>
      </c>
      <c r="C89" s="9" t="s">
        <v>181</v>
      </c>
      <c r="D89" s="23" t="s">
        <v>377</v>
      </c>
      <c r="E89" s="28">
        <v>0.9</v>
      </c>
      <c r="F89" s="27">
        <v>0.5</v>
      </c>
      <c r="G89" s="30" t="s">
        <v>155</v>
      </c>
      <c r="H89" s="27" t="s">
        <v>155</v>
      </c>
      <c r="I89" s="25" t="s">
        <v>15</v>
      </c>
      <c r="J89" s="34">
        <f>IF(E89="","",raw_data!C81)</f>
        <v>0</v>
      </c>
      <c r="K89" s="19">
        <f>IF(E89="","",raw_data!D81)</f>
        <v>0</v>
      </c>
      <c r="L89" s="19">
        <f>IF(F89="","",raw_data!E81)</f>
        <v>0</v>
      </c>
      <c r="M89" s="19">
        <f>IF(E89="","",raw_data!F81)</f>
        <v>0</v>
      </c>
      <c r="N89" s="20" t="str">
        <f t="shared" si="6"/>
        <v>-</v>
      </c>
      <c r="O89" s="19">
        <f>IF(E89="","",raw_data!G81)</f>
        <v>0</v>
      </c>
      <c r="P89" s="20" t="str">
        <f t="shared" si="3"/>
        <v>-</v>
      </c>
      <c r="Q89" s="19">
        <f>IF(F89="","",raw_data!H81)</f>
        <v>0</v>
      </c>
      <c r="R89" s="37" t="str">
        <f t="shared" si="4"/>
        <v>-</v>
      </c>
      <c r="S89" s="41" t="str">
        <f t="shared" si="5"/>
        <v>erfüllt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2.75" customHeight="1" x14ac:dyDescent="0.2">
      <c r="A90" s="9">
        <v>12014</v>
      </c>
      <c r="B90" s="9" t="s">
        <v>44</v>
      </c>
      <c r="C90" s="9" t="s">
        <v>182</v>
      </c>
      <c r="D90" s="23"/>
      <c r="E90" s="28"/>
      <c r="F90" s="27"/>
      <c r="G90" s="30"/>
      <c r="H90" s="27"/>
      <c r="I90" s="25" t="s">
        <v>15</v>
      </c>
      <c r="J90" s="34" t="str">
        <f>IF(E90="","",raw_data!C82)</f>
        <v/>
      </c>
      <c r="K90" s="19" t="str">
        <f>IF(E90="","",raw_data!D82)</f>
        <v/>
      </c>
      <c r="L90" s="19" t="str">
        <f>IF(F90="","",raw_data!E82)</f>
        <v/>
      </c>
      <c r="M90" s="19" t="str">
        <f>IF(E90="","",raw_data!F82)</f>
        <v/>
      </c>
      <c r="N90" s="20" t="str">
        <f t="shared" si="6"/>
        <v/>
      </c>
      <c r="O90" s="19" t="str">
        <f>IF(E90="","",raw_data!G82)</f>
        <v/>
      </c>
      <c r="P90" s="20" t="str">
        <f t="shared" si="3"/>
        <v/>
      </c>
      <c r="Q90" s="19" t="str">
        <f>IF(F90="","",raw_data!H82)</f>
        <v/>
      </c>
      <c r="R90" s="37" t="str">
        <f t="shared" si="4"/>
        <v/>
      </c>
      <c r="S90" s="41" t="str">
        <f t="shared" si="5"/>
        <v/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2.75" customHeight="1" x14ac:dyDescent="0.2">
      <c r="A91" s="9">
        <v>12015</v>
      </c>
      <c r="B91" s="9" t="s">
        <v>44</v>
      </c>
      <c r="C91" s="9" t="s">
        <v>183</v>
      </c>
      <c r="D91" s="23"/>
      <c r="E91" s="28"/>
      <c r="F91" s="27"/>
      <c r="G91" s="30"/>
      <c r="H91" s="27"/>
      <c r="I91" s="25" t="s">
        <v>15</v>
      </c>
      <c r="J91" s="34" t="str">
        <f>IF(E91="","",raw_data!C83)</f>
        <v/>
      </c>
      <c r="K91" s="19" t="str">
        <f>IF(E91="","",raw_data!D83)</f>
        <v/>
      </c>
      <c r="L91" s="19" t="str">
        <f>IF(F91="","",raw_data!E83)</f>
        <v/>
      </c>
      <c r="M91" s="19" t="str">
        <f>IF(E91="","",raw_data!F83)</f>
        <v/>
      </c>
      <c r="N91" s="20" t="str">
        <f t="shared" si="6"/>
        <v/>
      </c>
      <c r="O91" s="19" t="str">
        <f>IF(E91="","",raw_data!G83)</f>
        <v/>
      </c>
      <c r="P91" s="20" t="str">
        <f t="shared" si="3"/>
        <v/>
      </c>
      <c r="Q91" s="19" t="str">
        <f>IF(F91="","",raw_data!H83)</f>
        <v/>
      </c>
      <c r="R91" s="37" t="str">
        <f t="shared" si="4"/>
        <v/>
      </c>
      <c r="S91" s="41" t="str">
        <f t="shared" si="5"/>
        <v/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2.75" customHeight="1" x14ac:dyDescent="0.2">
      <c r="A92" s="9">
        <v>12016</v>
      </c>
      <c r="B92" s="9" t="s">
        <v>44</v>
      </c>
      <c r="C92" s="9" t="s">
        <v>45</v>
      </c>
      <c r="D92" s="23"/>
      <c r="E92" s="28"/>
      <c r="F92" s="27"/>
      <c r="G92" s="30"/>
      <c r="H92" s="27"/>
      <c r="I92" s="25" t="s">
        <v>30</v>
      </c>
      <c r="J92" s="34" t="str">
        <f>IF(E92="","",raw_data!C84)</f>
        <v/>
      </c>
      <c r="K92" s="19" t="str">
        <f>IF(E92="","",raw_data!D84)</f>
        <v/>
      </c>
      <c r="L92" s="19" t="str">
        <f>IF(F92="","",raw_data!E84)</f>
        <v/>
      </c>
      <c r="M92" s="19" t="str">
        <f>IF(E92="","",raw_data!F84)</f>
        <v/>
      </c>
      <c r="N92" s="20" t="str">
        <f t="shared" si="6"/>
        <v/>
      </c>
      <c r="O92" s="19" t="str">
        <f>IF(E92="","",raw_data!G84)</f>
        <v/>
      </c>
      <c r="P92" s="20" t="str">
        <f t="shared" si="3"/>
        <v/>
      </c>
      <c r="Q92" s="19" t="str">
        <f>IF(F92="","",raw_data!H84)</f>
        <v/>
      </c>
      <c r="R92" s="37" t="str">
        <f t="shared" si="4"/>
        <v/>
      </c>
      <c r="S92" s="41" t="str">
        <f t="shared" si="5"/>
        <v/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2.75" customHeight="1" x14ac:dyDescent="0.2">
      <c r="A93" s="9">
        <v>12017</v>
      </c>
      <c r="B93" s="9" t="s">
        <v>44</v>
      </c>
      <c r="C93" s="9" t="s">
        <v>184</v>
      </c>
      <c r="D93" s="23"/>
      <c r="E93" s="28">
        <v>1</v>
      </c>
      <c r="F93" s="27"/>
      <c r="G93" s="30" t="s">
        <v>155</v>
      </c>
      <c r="H93" s="27"/>
      <c r="I93" s="25" t="s">
        <v>15</v>
      </c>
      <c r="J93" s="34">
        <f>IF(E93="","",raw_data!C85)</f>
        <v>0</v>
      </c>
      <c r="K93" s="19">
        <f>IF(E93="","",raw_data!D85)</f>
        <v>0</v>
      </c>
      <c r="L93" s="19" t="str">
        <f>IF(F93="","",raw_data!E85)</f>
        <v/>
      </c>
      <c r="M93" s="19">
        <f>IF(E93="","",raw_data!F85)</f>
        <v>0</v>
      </c>
      <c r="N93" s="20" t="str">
        <f t="shared" si="6"/>
        <v>-</v>
      </c>
      <c r="O93" s="19">
        <f>IF(E93="","",raw_data!G85)</f>
        <v>0</v>
      </c>
      <c r="P93" s="20" t="str">
        <f t="shared" ref="P93:P128" si="7">IF(E93="","",IFERROR(O93/K93,"-"))</f>
        <v>-</v>
      </c>
      <c r="Q93" s="19" t="str">
        <f>IF(F93="","",raw_data!H85)</f>
        <v/>
      </c>
      <c r="R93" s="37" t="str">
        <f t="shared" ref="R93:R128" si="8">IF(F93="","",IFERROR(Q93/L93,"-"))</f>
        <v/>
      </c>
      <c r="S93" s="41" t="str">
        <f t="shared" si="5"/>
        <v>erfüllt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2.75" customHeight="1" x14ac:dyDescent="0.2">
      <c r="A94" s="9">
        <v>12018</v>
      </c>
      <c r="B94" s="9" t="s">
        <v>44</v>
      </c>
      <c r="C94" s="9" t="s">
        <v>185</v>
      </c>
      <c r="D94" s="23"/>
      <c r="E94" s="28">
        <v>1</v>
      </c>
      <c r="F94" s="27"/>
      <c r="G94" s="30" t="s">
        <v>155</v>
      </c>
      <c r="H94" s="27"/>
      <c r="I94" s="25" t="s">
        <v>15</v>
      </c>
      <c r="J94" s="34">
        <f>IF(E94="","",raw_data!C86)</f>
        <v>0</v>
      </c>
      <c r="K94" s="19">
        <f>IF(E94="","",raw_data!D86)</f>
        <v>0</v>
      </c>
      <c r="L94" s="19" t="str">
        <f>IF(F94="","",raw_data!E86)</f>
        <v/>
      </c>
      <c r="M94" s="19">
        <f>IF(E94="","",raw_data!F86)</f>
        <v>0</v>
      </c>
      <c r="N94" s="20" t="str">
        <f t="shared" si="6"/>
        <v>-</v>
      </c>
      <c r="O94" s="19">
        <f>IF(E94="","",raw_data!G86)</f>
        <v>0</v>
      </c>
      <c r="P94" s="20" t="str">
        <f t="shared" si="7"/>
        <v>-</v>
      </c>
      <c r="Q94" s="19" t="str">
        <f>IF(F94="","",raw_data!H86)</f>
        <v/>
      </c>
      <c r="R94" s="37" t="str">
        <f t="shared" si="8"/>
        <v/>
      </c>
      <c r="S94" s="41" t="str">
        <f t="shared" si="5"/>
        <v>erfüllt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2.75" customHeight="1" x14ac:dyDescent="0.2">
      <c r="A95" s="9">
        <v>12019</v>
      </c>
      <c r="B95" s="9" t="s">
        <v>44</v>
      </c>
      <c r="C95" s="9" t="s">
        <v>186</v>
      </c>
      <c r="D95" s="23"/>
      <c r="E95" s="28">
        <v>1</v>
      </c>
      <c r="F95" s="27"/>
      <c r="G95" s="30" t="s">
        <v>387</v>
      </c>
      <c r="H95" s="27"/>
      <c r="I95" s="25" t="s">
        <v>15</v>
      </c>
      <c r="J95" s="34">
        <f>IF(E95="","",raw_data!C87)</f>
        <v>0</v>
      </c>
      <c r="K95" s="19">
        <f>IF(E95="","",raw_data!D87)</f>
        <v>0</v>
      </c>
      <c r="L95" s="19" t="str">
        <f>IF(F95="","",raw_data!E87)</f>
        <v/>
      </c>
      <c r="M95" s="19">
        <f>IF(E95="","",raw_data!F87)</f>
        <v>0</v>
      </c>
      <c r="N95" s="20" t="str">
        <f t="shared" si="6"/>
        <v>-</v>
      </c>
      <c r="O95" s="19">
        <f>IF(E95="","",raw_data!G87)</f>
        <v>0</v>
      </c>
      <c r="P95" s="20" t="str">
        <f t="shared" si="7"/>
        <v>-</v>
      </c>
      <c r="Q95" s="19" t="str">
        <f>IF(F95="","",raw_data!H87)</f>
        <v/>
      </c>
      <c r="R95" s="37" t="str">
        <f t="shared" si="8"/>
        <v/>
      </c>
      <c r="S95" s="41" t="str">
        <f t="shared" si="5"/>
        <v>erfüllt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2.75" customHeight="1" x14ac:dyDescent="0.2">
      <c r="A96" s="9">
        <v>12020</v>
      </c>
      <c r="B96" s="9" t="s">
        <v>44</v>
      </c>
      <c r="C96" s="9" t="s">
        <v>187</v>
      </c>
      <c r="D96" s="23"/>
      <c r="E96" s="28">
        <v>1</v>
      </c>
      <c r="F96" s="27"/>
      <c r="G96" s="30" t="s">
        <v>387</v>
      </c>
      <c r="H96" s="27"/>
      <c r="I96" s="25" t="s">
        <v>15</v>
      </c>
      <c r="J96" s="34">
        <f>IF(E96="","",raw_data!C88)</f>
        <v>0</v>
      </c>
      <c r="K96" s="19">
        <f>IF(E96="","",raw_data!D88)</f>
        <v>0</v>
      </c>
      <c r="L96" s="19" t="str">
        <f>IF(F96="","",raw_data!E88)</f>
        <v/>
      </c>
      <c r="M96" s="19">
        <f>IF(E96="","",raw_data!F88)</f>
        <v>0</v>
      </c>
      <c r="N96" s="20" t="str">
        <f t="shared" si="6"/>
        <v>-</v>
      </c>
      <c r="O96" s="19">
        <f>IF(E96="","",raw_data!G88)</f>
        <v>0</v>
      </c>
      <c r="P96" s="20" t="str">
        <f t="shared" si="7"/>
        <v>-</v>
      </c>
      <c r="Q96" s="19" t="str">
        <f>IF(F96="","",raw_data!H88)</f>
        <v/>
      </c>
      <c r="R96" s="37" t="str">
        <f t="shared" si="8"/>
        <v/>
      </c>
      <c r="S96" s="41" t="str">
        <f t="shared" si="5"/>
        <v>erfüllt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2.75" customHeight="1" x14ac:dyDescent="0.2">
      <c r="A97" s="9">
        <v>12021</v>
      </c>
      <c r="B97" s="9" t="s">
        <v>44</v>
      </c>
      <c r="C97" s="9" t="s">
        <v>188</v>
      </c>
      <c r="D97" s="23"/>
      <c r="E97" s="28"/>
      <c r="F97" s="27"/>
      <c r="G97" s="30"/>
      <c r="H97" s="27"/>
      <c r="I97" s="25" t="s">
        <v>15</v>
      </c>
      <c r="J97" s="34" t="str">
        <f>IF(E97="","",raw_data!C89)</f>
        <v/>
      </c>
      <c r="K97" s="19" t="str">
        <f>IF(E97="","",raw_data!D89)</f>
        <v/>
      </c>
      <c r="L97" s="19" t="str">
        <f>IF(F97="","",raw_data!E89)</f>
        <v/>
      </c>
      <c r="M97" s="19" t="str">
        <f>IF(E97="","",raw_data!F89)</f>
        <v/>
      </c>
      <c r="N97" s="20" t="str">
        <f t="shared" si="6"/>
        <v/>
      </c>
      <c r="O97" s="19" t="str">
        <f>IF(E97="","",raw_data!G89)</f>
        <v/>
      </c>
      <c r="P97" s="20" t="str">
        <f t="shared" si="7"/>
        <v/>
      </c>
      <c r="Q97" s="19" t="str">
        <f>IF(F97="","",raw_data!H89)</f>
        <v/>
      </c>
      <c r="R97" s="37" t="str">
        <f t="shared" si="8"/>
        <v/>
      </c>
      <c r="S97" s="41" t="str">
        <f t="shared" si="5"/>
        <v/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2.75" customHeight="1" x14ac:dyDescent="0.2">
      <c r="A98" s="9">
        <v>12022</v>
      </c>
      <c r="B98" s="9" t="s">
        <v>44</v>
      </c>
      <c r="C98" s="9" t="s">
        <v>46</v>
      </c>
      <c r="D98" s="23"/>
      <c r="E98" s="28"/>
      <c r="F98" s="27"/>
      <c r="G98" s="30"/>
      <c r="H98" s="27"/>
      <c r="I98" s="25" t="s">
        <v>15</v>
      </c>
      <c r="J98" s="34" t="str">
        <f>IF(E98="","",raw_data!C90)</f>
        <v/>
      </c>
      <c r="K98" s="19" t="str">
        <f>IF(E98="","",raw_data!D90)</f>
        <v/>
      </c>
      <c r="L98" s="19" t="str">
        <f>IF(F98="","",raw_data!E90)</f>
        <v/>
      </c>
      <c r="M98" s="19" t="str">
        <f>IF(E98="","",raw_data!F90)</f>
        <v/>
      </c>
      <c r="N98" s="20" t="str">
        <f t="shared" si="6"/>
        <v/>
      </c>
      <c r="O98" s="19" t="str">
        <f>IF(E98="","",raw_data!G90)</f>
        <v/>
      </c>
      <c r="P98" s="20" t="str">
        <f t="shared" si="7"/>
        <v/>
      </c>
      <c r="Q98" s="19" t="str">
        <f>IF(F98="","",raw_data!H90)</f>
        <v/>
      </c>
      <c r="R98" s="37" t="str">
        <f t="shared" si="8"/>
        <v/>
      </c>
      <c r="S98" s="41" t="str">
        <f t="shared" si="5"/>
        <v/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2.75" customHeight="1" x14ac:dyDescent="0.2">
      <c r="A99" s="9" t="s">
        <v>410</v>
      </c>
      <c r="B99" s="9" t="s">
        <v>44</v>
      </c>
      <c r="C99" s="9" t="s">
        <v>47</v>
      </c>
      <c r="D99" s="23"/>
      <c r="E99" s="28">
        <v>1</v>
      </c>
      <c r="F99" s="27">
        <v>1</v>
      </c>
      <c r="G99" s="30" t="s">
        <v>155</v>
      </c>
      <c r="H99" s="27" t="s">
        <v>155</v>
      </c>
      <c r="I99" s="25" t="s">
        <v>15</v>
      </c>
      <c r="J99" s="34">
        <f>IF(E99="","",raw_data!C91)</f>
        <v>0</v>
      </c>
      <c r="K99" s="19">
        <f>IF(E99="","",raw_data!D91)</f>
        <v>0</v>
      </c>
      <c r="L99" s="19">
        <f>IF(F99="","",raw_data!E91)</f>
        <v>0</v>
      </c>
      <c r="M99" s="19">
        <f>IF(E99="","",raw_data!F91)</f>
        <v>0</v>
      </c>
      <c r="N99" s="20" t="str">
        <f t="shared" si="6"/>
        <v>-</v>
      </c>
      <c r="O99" s="19">
        <f>IF(E99="","",raw_data!G91)</f>
        <v>0</v>
      </c>
      <c r="P99" s="20" t="str">
        <f t="shared" si="7"/>
        <v>-</v>
      </c>
      <c r="Q99" s="19">
        <f>IF(F99="","",raw_data!H91)</f>
        <v>0</v>
      </c>
      <c r="R99" s="37" t="str">
        <f t="shared" si="8"/>
        <v>-</v>
      </c>
      <c r="S99" s="41" t="str">
        <f t="shared" si="5"/>
        <v>erfüllt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2.75" customHeight="1" x14ac:dyDescent="0.2">
      <c r="A100" s="9" t="s">
        <v>411</v>
      </c>
      <c r="B100" s="9" t="s">
        <v>44</v>
      </c>
      <c r="C100" s="9" t="s">
        <v>47</v>
      </c>
      <c r="D100" s="23" t="s">
        <v>377</v>
      </c>
      <c r="E100" s="28">
        <v>0.9</v>
      </c>
      <c r="F100" s="27">
        <v>0.5</v>
      </c>
      <c r="G100" s="30" t="s">
        <v>155</v>
      </c>
      <c r="H100" s="27" t="s">
        <v>155</v>
      </c>
      <c r="I100" s="25" t="s">
        <v>15</v>
      </c>
      <c r="J100" s="34">
        <f>IF(E100="","",raw_data!C92)</f>
        <v>0</v>
      </c>
      <c r="K100" s="19">
        <f>IF(E100="","",raw_data!D92)</f>
        <v>0</v>
      </c>
      <c r="L100" s="19">
        <f>IF(F100="","",raw_data!E92)</f>
        <v>0</v>
      </c>
      <c r="M100" s="19">
        <f>IF(E100="","",raw_data!F92)</f>
        <v>0</v>
      </c>
      <c r="N100" s="20" t="str">
        <f t="shared" si="6"/>
        <v>-</v>
      </c>
      <c r="O100" s="19">
        <f>IF(E100="","",raw_data!G92)</f>
        <v>0</v>
      </c>
      <c r="P100" s="20" t="str">
        <f t="shared" si="7"/>
        <v>-</v>
      </c>
      <c r="Q100" s="19">
        <f>IF(F100="","",raw_data!H92)</f>
        <v>0</v>
      </c>
      <c r="R100" s="37" t="str">
        <f t="shared" si="8"/>
        <v>-</v>
      </c>
      <c r="S100" s="41" t="str">
        <f t="shared" si="5"/>
        <v>erfüllt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2.75" customHeight="1" x14ac:dyDescent="0.2">
      <c r="A101" s="9">
        <v>12024</v>
      </c>
      <c r="B101" s="9" t="s">
        <v>44</v>
      </c>
      <c r="C101" s="9" t="s">
        <v>189</v>
      </c>
      <c r="D101" s="23"/>
      <c r="E101" s="28"/>
      <c r="F101" s="27"/>
      <c r="G101" s="30"/>
      <c r="H101" s="27"/>
      <c r="I101" s="25" t="s">
        <v>15</v>
      </c>
      <c r="J101" s="34" t="str">
        <f>IF(E101="","",raw_data!C93)</f>
        <v/>
      </c>
      <c r="K101" s="19" t="str">
        <f>IF(E101="","",raw_data!D93)</f>
        <v/>
      </c>
      <c r="L101" s="19" t="str">
        <f>IF(F101="","",raw_data!E93)</f>
        <v/>
      </c>
      <c r="M101" s="19" t="str">
        <f>IF(E101="","",raw_data!F93)</f>
        <v/>
      </c>
      <c r="N101" s="20" t="str">
        <f t="shared" si="6"/>
        <v/>
      </c>
      <c r="O101" s="19" t="str">
        <f>IF(E101="","",raw_data!G93)</f>
        <v/>
      </c>
      <c r="P101" s="20" t="str">
        <f t="shared" si="7"/>
        <v/>
      </c>
      <c r="Q101" s="19" t="str">
        <f>IF(F101="","",raw_data!H93)</f>
        <v/>
      </c>
      <c r="R101" s="37" t="str">
        <f t="shared" si="8"/>
        <v/>
      </c>
      <c r="S101" s="41" t="str">
        <f t="shared" si="5"/>
        <v/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2.75" customHeight="1" x14ac:dyDescent="0.2">
      <c r="A102" s="9">
        <v>12025</v>
      </c>
      <c r="B102" s="9" t="s">
        <v>44</v>
      </c>
      <c r="C102" s="9" t="s">
        <v>162</v>
      </c>
      <c r="D102" s="23"/>
      <c r="E102" s="28"/>
      <c r="F102" s="27"/>
      <c r="G102" s="30"/>
      <c r="H102" s="27"/>
      <c r="I102" s="25" t="s">
        <v>15</v>
      </c>
      <c r="J102" s="34" t="str">
        <f>IF(E102="","",raw_data!C94)</f>
        <v/>
      </c>
      <c r="K102" s="19" t="str">
        <f>IF(E102="","",raw_data!D94)</f>
        <v/>
      </c>
      <c r="L102" s="19" t="str">
        <f>IF(F102="","",raw_data!E94)</f>
        <v/>
      </c>
      <c r="M102" s="19" t="str">
        <f>IF(E102="","",raw_data!F94)</f>
        <v/>
      </c>
      <c r="N102" s="20" t="str">
        <f t="shared" si="6"/>
        <v/>
      </c>
      <c r="O102" s="19" t="str">
        <f>IF(E102="","",raw_data!G94)</f>
        <v/>
      </c>
      <c r="P102" s="20" t="str">
        <f t="shared" si="7"/>
        <v/>
      </c>
      <c r="Q102" s="19" t="str">
        <f>IF(F102="","",raw_data!H94)</f>
        <v/>
      </c>
      <c r="R102" s="37" t="str">
        <f t="shared" si="8"/>
        <v/>
      </c>
      <c r="S102" s="41" t="str">
        <f t="shared" si="5"/>
        <v/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2.75" customHeight="1" x14ac:dyDescent="0.2">
      <c r="A103" s="9">
        <v>12026</v>
      </c>
      <c r="B103" s="9" t="s">
        <v>44</v>
      </c>
      <c r="C103" s="9" t="s">
        <v>48</v>
      </c>
      <c r="D103" s="23"/>
      <c r="E103" s="28">
        <v>1</v>
      </c>
      <c r="F103" s="27"/>
      <c r="G103" s="30" t="s">
        <v>387</v>
      </c>
      <c r="H103" s="27"/>
      <c r="I103" s="25" t="s">
        <v>15</v>
      </c>
      <c r="J103" s="34">
        <f>IF(E103="","",raw_data!C95)</f>
        <v>0</v>
      </c>
      <c r="K103" s="19">
        <f>IF(E103="","",raw_data!D95)</f>
        <v>0</v>
      </c>
      <c r="L103" s="19" t="str">
        <f>IF(F103="","",raw_data!E95)</f>
        <v/>
      </c>
      <c r="M103" s="19">
        <f>IF(E103="","",raw_data!F95)</f>
        <v>0</v>
      </c>
      <c r="N103" s="20" t="str">
        <f t="shared" si="6"/>
        <v>-</v>
      </c>
      <c r="O103" s="19">
        <f>IF(E103="","",raw_data!G95)</f>
        <v>0</v>
      </c>
      <c r="P103" s="20" t="str">
        <f t="shared" si="7"/>
        <v>-</v>
      </c>
      <c r="Q103" s="19" t="str">
        <f>IF(F103="","",raw_data!H95)</f>
        <v/>
      </c>
      <c r="R103" s="37" t="str">
        <f t="shared" si="8"/>
        <v/>
      </c>
      <c r="S103" s="41" t="str">
        <f t="shared" si="5"/>
        <v>erfüllt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2.75" customHeight="1" x14ac:dyDescent="0.2">
      <c r="A104" s="9">
        <v>12027</v>
      </c>
      <c r="B104" s="9" t="s">
        <v>44</v>
      </c>
      <c r="C104" s="9" t="s">
        <v>49</v>
      </c>
      <c r="D104" s="23"/>
      <c r="E104" s="28">
        <v>1</v>
      </c>
      <c r="F104" s="27"/>
      <c r="G104" s="30" t="s">
        <v>387</v>
      </c>
      <c r="H104" s="27"/>
      <c r="I104" s="25" t="s">
        <v>15</v>
      </c>
      <c r="J104" s="34">
        <f>IF(E104="","",raw_data!C96)</f>
        <v>0</v>
      </c>
      <c r="K104" s="19">
        <f>IF(E104="","",raw_data!D96)</f>
        <v>0</v>
      </c>
      <c r="L104" s="19" t="str">
        <f>IF(F104="","",raw_data!E96)</f>
        <v/>
      </c>
      <c r="M104" s="19">
        <f>IF(E104="","",raw_data!F96)</f>
        <v>0</v>
      </c>
      <c r="N104" s="20" t="str">
        <f t="shared" si="6"/>
        <v>-</v>
      </c>
      <c r="O104" s="19">
        <f>IF(E104="","",raw_data!G96)</f>
        <v>0</v>
      </c>
      <c r="P104" s="20" t="str">
        <f t="shared" si="7"/>
        <v>-</v>
      </c>
      <c r="Q104" s="19" t="str">
        <f>IF(F104="","",raw_data!H96)</f>
        <v/>
      </c>
      <c r="R104" s="37" t="str">
        <f t="shared" si="8"/>
        <v/>
      </c>
      <c r="S104" s="41" t="str">
        <f t="shared" si="5"/>
        <v>erfüllt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2.75" customHeight="1" x14ac:dyDescent="0.2">
      <c r="A105" s="9" t="s">
        <v>412</v>
      </c>
      <c r="B105" s="9" t="s">
        <v>44</v>
      </c>
      <c r="C105" s="9" t="s">
        <v>50</v>
      </c>
      <c r="D105" s="23"/>
      <c r="E105" s="28">
        <v>1</v>
      </c>
      <c r="F105" s="27"/>
      <c r="G105" s="30" t="s">
        <v>155</v>
      </c>
      <c r="H105" s="27"/>
      <c r="I105" s="25" t="s">
        <v>15</v>
      </c>
      <c r="J105" s="34">
        <f>IF(E105="","",raw_data!C97)</f>
        <v>0</v>
      </c>
      <c r="K105" s="19">
        <f>IF(E105="","",raw_data!D97)</f>
        <v>0</v>
      </c>
      <c r="L105" s="19" t="str">
        <f>IF(F105="","",raw_data!E97)</f>
        <v/>
      </c>
      <c r="M105" s="19">
        <f>IF(E105="","",raw_data!F97)</f>
        <v>0</v>
      </c>
      <c r="N105" s="20" t="str">
        <f t="shared" si="6"/>
        <v>-</v>
      </c>
      <c r="O105" s="19">
        <f>IF(E105="","",raw_data!G97)</f>
        <v>0</v>
      </c>
      <c r="P105" s="20" t="str">
        <f t="shared" si="7"/>
        <v>-</v>
      </c>
      <c r="Q105" s="19" t="str">
        <f>IF(F105="","",raw_data!H97)</f>
        <v/>
      </c>
      <c r="R105" s="37" t="str">
        <f t="shared" si="8"/>
        <v/>
      </c>
      <c r="S105" s="41" t="str">
        <f t="shared" si="5"/>
        <v>erfüllt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2.75" customHeight="1" x14ac:dyDescent="0.2">
      <c r="A106" s="9" t="s">
        <v>413</v>
      </c>
      <c r="B106" s="9" t="s">
        <v>44</v>
      </c>
      <c r="C106" s="9" t="s">
        <v>50</v>
      </c>
      <c r="D106" s="23" t="s">
        <v>377</v>
      </c>
      <c r="E106" s="28">
        <v>0.5</v>
      </c>
      <c r="F106" s="27"/>
      <c r="G106" s="30" t="s">
        <v>155</v>
      </c>
      <c r="H106" s="27"/>
      <c r="I106" s="25" t="s">
        <v>15</v>
      </c>
      <c r="J106" s="34">
        <f>IF(E106="","",raw_data!C98)</f>
        <v>0</v>
      </c>
      <c r="K106" s="19">
        <f>IF(E106="","",raw_data!D98)</f>
        <v>0</v>
      </c>
      <c r="L106" s="19" t="str">
        <f>IF(F106="","",raw_data!E98)</f>
        <v/>
      </c>
      <c r="M106" s="19">
        <f>IF(E106="","",raw_data!F98)</f>
        <v>0</v>
      </c>
      <c r="N106" s="20" t="str">
        <f t="shared" si="6"/>
        <v>-</v>
      </c>
      <c r="O106" s="19">
        <f>IF(E106="","",raw_data!G98)</f>
        <v>0</v>
      </c>
      <c r="P106" s="20" t="str">
        <f t="shared" si="7"/>
        <v>-</v>
      </c>
      <c r="Q106" s="19" t="str">
        <f>IF(F106="","",raw_data!H98)</f>
        <v/>
      </c>
      <c r="R106" s="37" t="str">
        <f t="shared" si="8"/>
        <v/>
      </c>
      <c r="S106" s="41" t="str">
        <f t="shared" si="5"/>
        <v>erfüllt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2.75" x14ac:dyDescent="0.2">
      <c r="A107" s="9" t="s">
        <v>414</v>
      </c>
      <c r="B107" s="9" t="s">
        <v>44</v>
      </c>
      <c r="C107" s="9" t="s">
        <v>176</v>
      </c>
      <c r="D107" s="23"/>
      <c r="E107" s="28">
        <v>1</v>
      </c>
      <c r="F107" s="27">
        <v>1</v>
      </c>
      <c r="G107" s="30" t="s">
        <v>387</v>
      </c>
      <c r="H107" s="27" t="s">
        <v>387</v>
      </c>
      <c r="I107" s="25" t="s">
        <v>15</v>
      </c>
      <c r="J107" s="34">
        <f>IF(E107="","",raw_data!C99)</f>
        <v>0</v>
      </c>
      <c r="K107" s="19">
        <f>IF(E107="","",raw_data!D99)</f>
        <v>0</v>
      </c>
      <c r="L107" s="19">
        <f>IF(F107="","",raw_data!E99)</f>
        <v>0</v>
      </c>
      <c r="M107" s="19">
        <f>IF(E107="","",raw_data!F99)</f>
        <v>0</v>
      </c>
      <c r="N107" s="20" t="str">
        <f t="shared" si="6"/>
        <v>-</v>
      </c>
      <c r="O107" s="19">
        <f>IF(E107="","",raw_data!G99)</f>
        <v>0</v>
      </c>
      <c r="P107" s="20" t="str">
        <f t="shared" si="7"/>
        <v>-</v>
      </c>
      <c r="Q107" s="19">
        <f>IF(F107="","",raw_data!H99)</f>
        <v>0</v>
      </c>
      <c r="R107" s="37" t="str">
        <f t="shared" si="8"/>
        <v>-</v>
      </c>
      <c r="S107" s="41" t="str">
        <f t="shared" si="5"/>
        <v>erfüllt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2.75" x14ac:dyDescent="0.2">
      <c r="A108" s="9" t="s">
        <v>415</v>
      </c>
      <c r="B108" s="9" t="s">
        <v>44</v>
      </c>
      <c r="C108" s="9" t="s">
        <v>176</v>
      </c>
      <c r="D108" s="23" t="s">
        <v>377</v>
      </c>
      <c r="E108" s="28">
        <v>0.9</v>
      </c>
      <c r="F108" s="27">
        <v>0.5</v>
      </c>
      <c r="G108" s="30" t="s">
        <v>155</v>
      </c>
      <c r="H108" s="27" t="s">
        <v>155</v>
      </c>
      <c r="I108" s="25" t="s">
        <v>15</v>
      </c>
      <c r="J108" s="34">
        <f>IF(E108="","",raw_data!C100)</f>
        <v>0</v>
      </c>
      <c r="K108" s="19">
        <f>IF(E108="","",raw_data!D100)</f>
        <v>0</v>
      </c>
      <c r="L108" s="19">
        <f>IF(F108="","",raw_data!E100)</f>
        <v>0</v>
      </c>
      <c r="M108" s="19">
        <f>IF(E108="","",raw_data!F100)</f>
        <v>0</v>
      </c>
      <c r="N108" s="20" t="str">
        <f t="shared" si="6"/>
        <v>-</v>
      </c>
      <c r="O108" s="19">
        <f>IF(E108="","",raw_data!G100)</f>
        <v>0</v>
      </c>
      <c r="P108" s="20" t="str">
        <f t="shared" si="7"/>
        <v>-</v>
      </c>
      <c r="Q108" s="19">
        <f>IF(F108="","",raw_data!H100)</f>
        <v>0</v>
      </c>
      <c r="R108" s="37" t="str">
        <f t="shared" si="8"/>
        <v>-</v>
      </c>
      <c r="S108" s="41" t="str">
        <f t="shared" si="5"/>
        <v>erfüllt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2.75" customHeight="1" x14ac:dyDescent="0.2">
      <c r="A109" s="9" t="s">
        <v>416</v>
      </c>
      <c r="B109" s="9" t="s">
        <v>44</v>
      </c>
      <c r="C109" s="9" t="s">
        <v>40</v>
      </c>
      <c r="D109" s="23"/>
      <c r="E109" s="28">
        <v>1</v>
      </c>
      <c r="F109" s="27">
        <v>1</v>
      </c>
      <c r="G109" s="30" t="s">
        <v>155</v>
      </c>
      <c r="H109" s="27" t="s">
        <v>155</v>
      </c>
      <c r="I109" s="25" t="s">
        <v>15</v>
      </c>
      <c r="J109" s="34">
        <f>IF(E109="","",raw_data!C101)</f>
        <v>0</v>
      </c>
      <c r="K109" s="19">
        <f>IF(E109="","",raw_data!D101)</f>
        <v>0</v>
      </c>
      <c r="L109" s="19">
        <f>IF(F109="","",raw_data!E101)</f>
        <v>0</v>
      </c>
      <c r="M109" s="19">
        <f>IF(E109="","",raw_data!F101)</f>
        <v>0</v>
      </c>
      <c r="N109" s="20" t="str">
        <f t="shared" si="6"/>
        <v>-</v>
      </c>
      <c r="O109" s="19">
        <f>IF(E109="","",raw_data!G101)</f>
        <v>0</v>
      </c>
      <c r="P109" s="20" t="str">
        <f t="shared" si="7"/>
        <v>-</v>
      </c>
      <c r="Q109" s="19">
        <f>IF(F109="","",raw_data!H101)</f>
        <v>0</v>
      </c>
      <c r="R109" s="37" t="str">
        <f t="shared" si="8"/>
        <v>-</v>
      </c>
      <c r="S109" s="41" t="str">
        <f t="shared" si="5"/>
        <v>erfüllt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2.75" customHeight="1" x14ac:dyDescent="0.2">
      <c r="A110" s="9" t="s">
        <v>417</v>
      </c>
      <c r="B110" s="9" t="s">
        <v>44</v>
      </c>
      <c r="C110" s="9" t="s">
        <v>40</v>
      </c>
      <c r="D110" s="23" t="s">
        <v>377</v>
      </c>
      <c r="E110" s="28">
        <v>0.9</v>
      </c>
      <c r="F110" s="27">
        <v>0.5</v>
      </c>
      <c r="G110" s="30" t="s">
        <v>155</v>
      </c>
      <c r="H110" s="27" t="s">
        <v>155</v>
      </c>
      <c r="I110" s="25" t="s">
        <v>15</v>
      </c>
      <c r="J110" s="34">
        <f>IF(E110="","",raw_data!C102)</f>
        <v>0</v>
      </c>
      <c r="K110" s="19">
        <f>IF(E110="","",raw_data!D102)</f>
        <v>0</v>
      </c>
      <c r="L110" s="19">
        <f>IF(F110="","",raw_data!E102)</f>
        <v>0</v>
      </c>
      <c r="M110" s="19">
        <f>IF(E110="","",raw_data!F102)</f>
        <v>0</v>
      </c>
      <c r="N110" s="20" t="str">
        <f t="shared" si="6"/>
        <v>-</v>
      </c>
      <c r="O110" s="19">
        <f>IF(E110="","",raw_data!G102)</f>
        <v>0</v>
      </c>
      <c r="P110" s="20" t="str">
        <f t="shared" si="7"/>
        <v>-</v>
      </c>
      <c r="Q110" s="19">
        <f>IF(F110="","",raw_data!H102)</f>
        <v>0</v>
      </c>
      <c r="R110" s="37" t="str">
        <f t="shared" si="8"/>
        <v>-</v>
      </c>
      <c r="S110" s="41" t="str">
        <f t="shared" si="5"/>
        <v>erfüllt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2.75" customHeight="1" x14ac:dyDescent="0.2">
      <c r="A111" s="9">
        <v>12031</v>
      </c>
      <c r="B111" s="9" t="s">
        <v>44</v>
      </c>
      <c r="C111" s="9" t="s">
        <v>177</v>
      </c>
      <c r="D111" s="23"/>
      <c r="E111" s="28"/>
      <c r="F111" s="27"/>
      <c r="G111" s="30"/>
      <c r="H111" s="27"/>
      <c r="I111" s="25" t="s">
        <v>15</v>
      </c>
      <c r="J111" s="34" t="str">
        <f>IF(E111="","",raw_data!C103)</f>
        <v/>
      </c>
      <c r="K111" s="19" t="str">
        <f>IF(E111="","",raw_data!D103)</f>
        <v/>
      </c>
      <c r="L111" s="19" t="str">
        <f>IF(F111="","",raw_data!E103)</f>
        <v/>
      </c>
      <c r="M111" s="19" t="str">
        <f>IF(E111="","",raw_data!F103)</f>
        <v/>
      </c>
      <c r="N111" s="20" t="str">
        <f t="shared" si="6"/>
        <v/>
      </c>
      <c r="O111" s="19" t="str">
        <f>IF(E111="","",raw_data!G103)</f>
        <v/>
      </c>
      <c r="P111" s="20" t="str">
        <f t="shared" si="7"/>
        <v/>
      </c>
      <c r="Q111" s="19" t="str">
        <f>IF(F111="","",raw_data!H103)</f>
        <v/>
      </c>
      <c r="R111" s="37" t="str">
        <f t="shared" si="8"/>
        <v/>
      </c>
      <c r="S111" s="41" t="str">
        <f t="shared" si="5"/>
        <v/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2.75" customHeight="1" x14ac:dyDescent="0.2">
      <c r="A112" s="9">
        <v>12032</v>
      </c>
      <c r="B112" s="9" t="s">
        <v>44</v>
      </c>
      <c r="C112" s="9" t="s">
        <v>190</v>
      </c>
      <c r="D112" s="23"/>
      <c r="E112" s="28"/>
      <c r="F112" s="27"/>
      <c r="G112" s="30"/>
      <c r="H112" s="27"/>
      <c r="I112" s="25" t="s">
        <v>15</v>
      </c>
      <c r="J112" s="34" t="str">
        <f>IF(E112="","",raw_data!C104)</f>
        <v/>
      </c>
      <c r="K112" s="19" t="str">
        <f>IF(E112="","",raw_data!D104)</f>
        <v/>
      </c>
      <c r="L112" s="19" t="str">
        <f>IF(F112="","",raw_data!E104)</f>
        <v/>
      </c>
      <c r="M112" s="19" t="str">
        <f>IF(E112="","",raw_data!F104)</f>
        <v/>
      </c>
      <c r="N112" s="20" t="str">
        <f t="shared" si="6"/>
        <v/>
      </c>
      <c r="O112" s="19" t="str">
        <f>IF(E112="","",raw_data!G104)</f>
        <v/>
      </c>
      <c r="P112" s="20" t="str">
        <f t="shared" si="7"/>
        <v/>
      </c>
      <c r="Q112" s="19" t="str">
        <f>IF(F112="","",raw_data!H104)</f>
        <v/>
      </c>
      <c r="R112" s="37" t="str">
        <f t="shared" si="8"/>
        <v/>
      </c>
      <c r="S112" s="41" t="str">
        <f t="shared" si="5"/>
        <v/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2.75" customHeight="1" x14ac:dyDescent="0.2">
      <c r="A113" s="9">
        <v>12033</v>
      </c>
      <c r="B113" s="9" t="s">
        <v>44</v>
      </c>
      <c r="C113" s="9" t="s">
        <v>191</v>
      </c>
      <c r="D113" s="23"/>
      <c r="E113" s="28"/>
      <c r="F113" s="27"/>
      <c r="G113" s="30"/>
      <c r="H113" s="27"/>
      <c r="I113" s="25" t="s">
        <v>15</v>
      </c>
      <c r="J113" s="34" t="str">
        <f>IF(E113="","",raw_data!C105)</f>
        <v/>
      </c>
      <c r="K113" s="19" t="str">
        <f>IF(E113="","",raw_data!D105)</f>
        <v/>
      </c>
      <c r="L113" s="19" t="str">
        <f>IF(F113="","",raw_data!E105)</f>
        <v/>
      </c>
      <c r="M113" s="19" t="str">
        <f>IF(E113="","",raw_data!F105)</f>
        <v/>
      </c>
      <c r="N113" s="20" t="str">
        <f t="shared" si="6"/>
        <v/>
      </c>
      <c r="O113" s="19" t="str">
        <f>IF(E113="","",raw_data!G105)</f>
        <v/>
      </c>
      <c r="P113" s="20" t="str">
        <f t="shared" si="7"/>
        <v/>
      </c>
      <c r="Q113" s="19" t="str">
        <f>IF(F113="","",raw_data!H105)</f>
        <v/>
      </c>
      <c r="R113" s="37" t="str">
        <f t="shared" si="8"/>
        <v/>
      </c>
      <c r="S113" s="41" t="str">
        <f t="shared" si="5"/>
        <v/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2.75" customHeight="1" x14ac:dyDescent="0.2">
      <c r="A114" s="9">
        <v>12034</v>
      </c>
      <c r="B114" s="9" t="s">
        <v>44</v>
      </c>
      <c r="C114" s="9" t="s">
        <v>9</v>
      </c>
      <c r="D114" s="23"/>
      <c r="E114" s="28">
        <v>1</v>
      </c>
      <c r="F114" s="27">
        <v>1</v>
      </c>
      <c r="G114" s="30" t="s">
        <v>155</v>
      </c>
      <c r="H114" s="27" t="s">
        <v>155</v>
      </c>
      <c r="I114" s="25" t="s">
        <v>15</v>
      </c>
      <c r="J114" s="34">
        <f>IF(E114="","",raw_data!C106)</f>
        <v>0</v>
      </c>
      <c r="K114" s="19">
        <f>IF(E114="","",raw_data!D106)</f>
        <v>0</v>
      </c>
      <c r="L114" s="19">
        <f>IF(F114="","",raw_data!E106)</f>
        <v>0</v>
      </c>
      <c r="M114" s="19">
        <f>IF(E114="","",raw_data!F106)</f>
        <v>0</v>
      </c>
      <c r="N114" s="20" t="str">
        <f t="shared" si="6"/>
        <v>-</v>
      </c>
      <c r="O114" s="19">
        <f>IF(E114="","",raw_data!G106)</f>
        <v>0</v>
      </c>
      <c r="P114" s="20" t="str">
        <f t="shared" si="7"/>
        <v>-</v>
      </c>
      <c r="Q114" s="19">
        <f>IF(F114="","",raw_data!H106)</f>
        <v>0</v>
      </c>
      <c r="R114" s="37" t="str">
        <f t="shared" si="8"/>
        <v>-</v>
      </c>
      <c r="S114" s="41" t="str">
        <f t="shared" si="5"/>
        <v>erfüllt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2.75" customHeight="1" x14ac:dyDescent="0.2">
      <c r="A115" s="9" t="s">
        <v>418</v>
      </c>
      <c r="B115" s="9" t="s">
        <v>44</v>
      </c>
      <c r="C115" s="9" t="s">
        <v>51</v>
      </c>
      <c r="D115" s="23"/>
      <c r="E115" s="28">
        <v>1</v>
      </c>
      <c r="F115" s="27"/>
      <c r="G115" s="30" t="s">
        <v>155</v>
      </c>
      <c r="H115" s="27"/>
      <c r="I115" s="25" t="s">
        <v>15</v>
      </c>
      <c r="J115" s="34">
        <f>IF(E115="","",raw_data!C107)</f>
        <v>0</v>
      </c>
      <c r="K115" s="19">
        <f>IF(E115="","",raw_data!D107)</f>
        <v>0</v>
      </c>
      <c r="L115" s="19" t="str">
        <f>IF(F115="","",raw_data!E107)</f>
        <v/>
      </c>
      <c r="M115" s="19">
        <f>IF(E115="","",raw_data!F107)</f>
        <v>0</v>
      </c>
      <c r="N115" s="20" t="str">
        <f t="shared" si="6"/>
        <v>-</v>
      </c>
      <c r="O115" s="19">
        <f>IF(E115="","",raw_data!G107)</f>
        <v>0</v>
      </c>
      <c r="P115" s="20" t="str">
        <f t="shared" si="7"/>
        <v>-</v>
      </c>
      <c r="Q115" s="19" t="str">
        <f>IF(F115="","",raw_data!H107)</f>
        <v/>
      </c>
      <c r="R115" s="37" t="str">
        <f t="shared" si="8"/>
        <v/>
      </c>
      <c r="S115" s="41" t="str">
        <f t="shared" si="5"/>
        <v>erfüllt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2.75" customHeight="1" x14ac:dyDescent="0.2">
      <c r="A116" s="9" t="s">
        <v>419</v>
      </c>
      <c r="B116" s="9" t="s">
        <v>44</v>
      </c>
      <c r="C116" s="9" t="s">
        <v>51</v>
      </c>
      <c r="D116" s="23" t="s">
        <v>377</v>
      </c>
      <c r="E116" s="28">
        <v>0.5</v>
      </c>
      <c r="F116" s="27"/>
      <c r="G116" s="30" t="s">
        <v>155</v>
      </c>
      <c r="H116" s="27"/>
      <c r="I116" s="25" t="s">
        <v>15</v>
      </c>
      <c r="J116" s="34">
        <f>IF(E116="","",raw_data!C108)</f>
        <v>0</v>
      </c>
      <c r="K116" s="19">
        <f>IF(E116="","",raw_data!D108)</f>
        <v>0</v>
      </c>
      <c r="L116" s="19" t="str">
        <f>IF(F116="","",raw_data!E108)</f>
        <v/>
      </c>
      <c r="M116" s="19">
        <f>IF(E116="","",raw_data!F108)</f>
        <v>0</v>
      </c>
      <c r="N116" s="20" t="str">
        <f t="shared" si="6"/>
        <v>-</v>
      </c>
      <c r="O116" s="19">
        <f>IF(E116="","",raw_data!G108)</f>
        <v>0</v>
      </c>
      <c r="P116" s="20" t="str">
        <f t="shared" si="7"/>
        <v>-</v>
      </c>
      <c r="Q116" s="19" t="str">
        <f>IF(F116="","",raw_data!H108)</f>
        <v/>
      </c>
      <c r="R116" s="37" t="str">
        <f t="shared" si="8"/>
        <v/>
      </c>
      <c r="S116" s="41" t="str">
        <f t="shared" si="5"/>
        <v>erfüllt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2.75" customHeight="1" x14ac:dyDescent="0.2">
      <c r="A117" s="9">
        <v>12036</v>
      </c>
      <c r="B117" s="9" t="s">
        <v>44</v>
      </c>
      <c r="C117" s="9" t="s">
        <v>52</v>
      </c>
      <c r="D117" s="23"/>
      <c r="E117" s="28"/>
      <c r="F117" s="27"/>
      <c r="G117" s="30"/>
      <c r="H117" s="27"/>
      <c r="I117" s="25" t="s">
        <v>15</v>
      </c>
      <c r="J117" s="34" t="str">
        <f>IF(E117="","",raw_data!C109)</f>
        <v/>
      </c>
      <c r="K117" s="19" t="str">
        <f>IF(E117="","",raw_data!D109)</f>
        <v/>
      </c>
      <c r="L117" s="19" t="str">
        <f>IF(F117="","",raw_data!E109)</f>
        <v/>
      </c>
      <c r="M117" s="19" t="str">
        <f>IF(E117="","",raw_data!F109)</f>
        <v/>
      </c>
      <c r="N117" s="20" t="str">
        <f t="shared" si="6"/>
        <v/>
      </c>
      <c r="O117" s="19" t="str">
        <f>IF(E117="","",raw_data!G109)</f>
        <v/>
      </c>
      <c r="P117" s="20" t="str">
        <f t="shared" si="7"/>
        <v/>
      </c>
      <c r="Q117" s="19" t="str">
        <f>IF(F117="","",raw_data!H109)</f>
        <v/>
      </c>
      <c r="R117" s="37" t="str">
        <f t="shared" si="8"/>
        <v/>
      </c>
      <c r="S117" s="41" t="str">
        <f t="shared" si="5"/>
        <v/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2.75" customHeight="1" x14ac:dyDescent="0.2">
      <c r="A118" s="9">
        <v>12037</v>
      </c>
      <c r="B118" s="9" t="s">
        <v>44</v>
      </c>
      <c r="C118" s="9" t="s">
        <v>53</v>
      </c>
      <c r="D118" s="23"/>
      <c r="E118" s="28"/>
      <c r="F118" s="27"/>
      <c r="G118" s="30"/>
      <c r="H118" s="27"/>
      <c r="I118" s="25" t="s">
        <v>15</v>
      </c>
      <c r="J118" s="34" t="str">
        <f>IF(E118="","",raw_data!C110)</f>
        <v/>
      </c>
      <c r="K118" s="19" t="str">
        <f>IF(E118="","",raw_data!D110)</f>
        <v/>
      </c>
      <c r="L118" s="19" t="str">
        <f>IF(F118="","",raw_data!E110)</f>
        <v/>
      </c>
      <c r="M118" s="19" t="str">
        <f>IF(E118="","",raw_data!F110)</f>
        <v/>
      </c>
      <c r="N118" s="20" t="str">
        <f t="shared" si="6"/>
        <v/>
      </c>
      <c r="O118" s="19" t="str">
        <f>IF(E118="","",raw_data!G110)</f>
        <v/>
      </c>
      <c r="P118" s="20" t="str">
        <f t="shared" si="7"/>
        <v/>
      </c>
      <c r="Q118" s="19" t="str">
        <f>IF(F118="","",raw_data!H110)</f>
        <v/>
      </c>
      <c r="R118" s="37" t="str">
        <f t="shared" si="8"/>
        <v/>
      </c>
      <c r="S118" s="41" t="str">
        <f t="shared" si="5"/>
        <v/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2.75" customHeight="1" x14ac:dyDescent="0.2">
      <c r="A119" s="9">
        <v>12038</v>
      </c>
      <c r="B119" s="9" t="s">
        <v>44</v>
      </c>
      <c r="C119" s="9" t="s">
        <v>192</v>
      </c>
      <c r="D119" s="23"/>
      <c r="E119" s="28"/>
      <c r="F119" s="27"/>
      <c r="G119" s="30"/>
      <c r="H119" s="27"/>
      <c r="I119" s="25" t="s">
        <v>15</v>
      </c>
      <c r="J119" s="34" t="str">
        <f>IF(E119="","",raw_data!C111)</f>
        <v/>
      </c>
      <c r="K119" s="19" t="str">
        <f>IF(E119="","",raw_data!D111)</f>
        <v/>
      </c>
      <c r="L119" s="19" t="str">
        <f>IF(F119="","",raw_data!E111)</f>
        <v/>
      </c>
      <c r="M119" s="19" t="str">
        <f>IF(E119="","",raw_data!F111)</f>
        <v/>
      </c>
      <c r="N119" s="20" t="str">
        <f t="shared" si="6"/>
        <v/>
      </c>
      <c r="O119" s="19" t="str">
        <f>IF(E119="","",raw_data!G111)</f>
        <v/>
      </c>
      <c r="P119" s="20" t="str">
        <f t="shared" si="7"/>
        <v/>
      </c>
      <c r="Q119" s="19" t="str">
        <f>IF(F119="","",raw_data!H111)</f>
        <v/>
      </c>
      <c r="R119" s="37" t="str">
        <f t="shared" si="8"/>
        <v/>
      </c>
      <c r="S119" s="41" t="str">
        <f t="shared" si="5"/>
        <v/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2.75" customHeight="1" x14ac:dyDescent="0.2">
      <c r="A120" s="9">
        <v>12039</v>
      </c>
      <c r="B120" s="9" t="s">
        <v>44</v>
      </c>
      <c r="C120" s="9" t="s">
        <v>10</v>
      </c>
      <c r="D120" s="23"/>
      <c r="E120" s="28"/>
      <c r="F120" s="27"/>
      <c r="G120" s="30"/>
      <c r="H120" s="27"/>
      <c r="I120" s="25" t="s">
        <v>34</v>
      </c>
      <c r="J120" s="34" t="str">
        <f>IF(E120="","",raw_data!C112)</f>
        <v/>
      </c>
      <c r="K120" s="19" t="str">
        <f>IF(E120="","",raw_data!D112)</f>
        <v/>
      </c>
      <c r="L120" s="19" t="str">
        <f>IF(F120="","",raw_data!E112)</f>
        <v/>
      </c>
      <c r="M120" s="19" t="str">
        <f>IF(E120="","",raw_data!F112)</f>
        <v/>
      </c>
      <c r="N120" s="20" t="str">
        <f t="shared" si="6"/>
        <v/>
      </c>
      <c r="O120" s="19" t="str">
        <f>IF(E120="","",raw_data!G112)</f>
        <v/>
      </c>
      <c r="P120" s="20" t="str">
        <f t="shared" si="7"/>
        <v/>
      </c>
      <c r="Q120" s="19" t="str">
        <f>IF(F120="","",raw_data!H112)</f>
        <v/>
      </c>
      <c r="R120" s="37" t="str">
        <f t="shared" si="8"/>
        <v/>
      </c>
      <c r="S120" s="41" t="str">
        <f t="shared" si="5"/>
        <v/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2.75" customHeight="1" x14ac:dyDescent="0.2">
      <c r="A121" s="9">
        <v>12040</v>
      </c>
      <c r="B121" s="9" t="s">
        <v>44</v>
      </c>
      <c r="C121" s="9" t="s">
        <v>54</v>
      </c>
      <c r="D121" s="23"/>
      <c r="E121" s="28">
        <v>1</v>
      </c>
      <c r="F121" s="27">
        <v>1</v>
      </c>
      <c r="G121" s="30" t="s">
        <v>155</v>
      </c>
      <c r="H121" s="27" t="s">
        <v>155</v>
      </c>
      <c r="I121" s="25" t="s">
        <v>15</v>
      </c>
      <c r="J121" s="34">
        <f>IF(E121="","",raw_data!C113)</f>
        <v>0</v>
      </c>
      <c r="K121" s="19">
        <f>IF(E121="","",raw_data!D113)</f>
        <v>0</v>
      </c>
      <c r="L121" s="19">
        <f>IF(F121="","",raw_data!E113)</f>
        <v>0</v>
      </c>
      <c r="M121" s="19">
        <f>IF(E121="","",raw_data!F113)</f>
        <v>0</v>
      </c>
      <c r="N121" s="20" t="str">
        <f t="shared" si="6"/>
        <v>-</v>
      </c>
      <c r="O121" s="19">
        <f>IF(E121="","",raw_data!G113)</f>
        <v>0</v>
      </c>
      <c r="P121" s="20" t="str">
        <f t="shared" si="7"/>
        <v>-</v>
      </c>
      <c r="Q121" s="19">
        <f>IF(F121="","",raw_data!H113)</f>
        <v>0</v>
      </c>
      <c r="R121" s="37" t="str">
        <f t="shared" si="8"/>
        <v>-</v>
      </c>
      <c r="S121" s="41" t="str">
        <f t="shared" si="5"/>
        <v>erfüllt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2.75" customHeight="1" x14ac:dyDescent="0.2">
      <c r="A122" s="9">
        <v>12041</v>
      </c>
      <c r="B122" s="9" t="s">
        <v>44</v>
      </c>
      <c r="C122" s="9" t="s">
        <v>55</v>
      </c>
      <c r="D122" s="23"/>
      <c r="E122" s="28"/>
      <c r="F122" s="27"/>
      <c r="G122" s="30"/>
      <c r="H122" s="27"/>
      <c r="I122" s="25" t="s">
        <v>15</v>
      </c>
      <c r="J122" s="34" t="str">
        <f>IF(E122="","",raw_data!C114)</f>
        <v/>
      </c>
      <c r="K122" s="19" t="str">
        <f>IF(E122="","",raw_data!D114)</f>
        <v/>
      </c>
      <c r="L122" s="19" t="str">
        <f>IF(F122="","",raw_data!E114)</f>
        <v/>
      </c>
      <c r="M122" s="19" t="str">
        <f>IF(E122="","",raw_data!F114)</f>
        <v/>
      </c>
      <c r="N122" s="20" t="str">
        <f t="shared" si="6"/>
        <v/>
      </c>
      <c r="O122" s="19" t="str">
        <f>IF(E122="","",raw_data!G114)</f>
        <v/>
      </c>
      <c r="P122" s="20" t="str">
        <f t="shared" si="7"/>
        <v/>
      </c>
      <c r="Q122" s="19" t="str">
        <f>IF(F122="","",raw_data!H114)</f>
        <v/>
      </c>
      <c r="R122" s="37" t="str">
        <f t="shared" si="8"/>
        <v/>
      </c>
      <c r="S122" s="41" t="str">
        <f t="shared" si="5"/>
        <v/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2.75" customHeight="1" x14ac:dyDescent="0.2">
      <c r="A123" s="9">
        <v>12042</v>
      </c>
      <c r="B123" s="9" t="s">
        <v>44</v>
      </c>
      <c r="C123" s="9" t="s">
        <v>193</v>
      </c>
      <c r="D123" s="23"/>
      <c r="E123" s="28"/>
      <c r="F123" s="27"/>
      <c r="G123" s="30"/>
      <c r="H123" s="27"/>
      <c r="I123" s="25" t="s">
        <v>15</v>
      </c>
      <c r="J123" s="34" t="str">
        <f>IF(E123="","",raw_data!C115)</f>
        <v/>
      </c>
      <c r="K123" s="19" t="str">
        <f>IF(E123="","",raw_data!D115)</f>
        <v/>
      </c>
      <c r="L123" s="19" t="str">
        <f>IF(F123="","",raw_data!E115)</f>
        <v/>
      </c>
      <c r="M123" s="19" t="str">
        <f>IF(E123="","",raw_data!F115)</f>
        <v/>
      </c>
      <c r="N123" s="20" t="str">
        <f t="shared" si="6"/>
        <v/>
      </c>
      <c r="O123" s="19" t="str">
        <f>IF(E123="","",raw_data!G115)</f>
        <v/>
      </c>
      <c r="P123" s="20" t="str">
        <f t="shared" si="7"/>
        <v/>
      </c>
      <c r="Q123" s="19" t="str">
        <f>IF(F123="","",raw_data!H115)</f>
        <v/>
      </c>
      <c r="R123" s="37" t="str">
        <f t="shared" si="8"/>
        <v/>
      </c>
      <c r="S123" s="41" t="str">
        <f t="shared" si="5"/>
        <v/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2.75" customHeight="1" x14ac:dyDescent="0.2">
      <c r="A124" s="9">
        <v>12043</v>
      </c>
      <c r="B124" s="9" t="s">
        <v>44</v>
      </c>
      <c r="C124" s="9" t="s">
        <v>194</v>
      </c>
      <c r="D124" s="23"/>
      <c r="E124" s="28"/>
      <c r="F124" s="27"/>
      <c r="G124" s="30"/>
      <c r="H124" s="27"/>
      <c r="I124" s="25" t="s">
        <v>15</v>
      </c>
      <c r="J124" s="34" t="str">
        <f>IF(E124="","",raw_data!C116)</f>
        <v/>
      </c>
      <c r="K124" s="19" t="str">
        <f>IF(E124="","",raw_data!D116)</f>
        <v/>
      </c>
      <c r="L124" s="19" t="str">
        <f>IF(F124="","",raw_data!E116)</f>
        <v/>
      </c>
      <c r="M124" s="19" t="str">
        <f>IF(E124="","",raw_data!F116)</f>
        <v/>
      </c>
      <c r="N124" s="20" t="str">
        <f t="shared" si="6"/>
        <v/>
      </c>
      <c r="O124" s="19" t="str">
        <f>IF(E124="","",raw_data!G116)</f>
        <v/>
      </c>
      <c r="P124" s="20" t="str">
        <f t="shared" si="7"/>
        <v/>
      </c>
      <c r="Q124" s="19" t="str">
        <f>IF(F124="","",raw_data!H116)</f>
        <v/>
      </c>
      <c r="R124" s="37" t="str">
        <f t="shared" si="8"/>
        <v/>
      </c>
      <c r="S124" s="41" t="str">
        <f t="shared" si="5"/>
        <v/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2.75" customHeight="1" x14ac:dyDescent="0.2">
      <c r="A125" s="9">
        <v>12044</v>
      </c>
      <c r="B125" s="9" t="s">
        <v>44</v>
      </c>
      <c r="C125" s="9" t="s">
        <v>56</v>
      </c>
      <c r="D125" s="23"/>
      <c r="E125" s="28"/>
      <c r="F125" s="27"/>
      <c r="G125" s="30"/>
      <c r="H125" s="27"/>
      <c r="I125" s="25" t="s">
        <v>15</v>
      </c>
      <c r="J125" s="34" t="str">
        <f>IF(E125="","",raw_data!C117)</f>
        <v/>
      </c>
      <c r="K125" s="19" t="str">
        <f>IF(E125="","",raw_data!D117)</f>
        <v/>
      </c>
      <c r="L125" s="19" t="str">
        <f>IF(F125="","",raw_data!E117)</f>
        <v/>
      </c>
      <c r="M125" s="19" t="str">
        <f>IF(E125="","",raw_data!F117)</f>
        <v/>
      </c>
      <c r="N125" s="20" t="str">
        <f t="shared" si="6"/>
        <v/>
      </c>
      <c r="O125" s="19" t="str">
        <f>IF(E125="","",raw_data!G117)</f>
        <v/>
      </c>
      <c r="P125" s="20" t="str">
        <f t="shared" si="7"/>
        <v/>
      </c>
      <c r="Q125" s="19" t="str">
        <f>IF(F125="","",raw_data!H117)</f>
        <v/>
      </c>
      <c r="R125" s="37" t="str">
        <f t="shared" si="8"/>
        <v/>
      </c>
      <c r="S125" s="41" t="str">
        <f t="shared" si="5"/>
        <v/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2.75" customHeight="1" x14ac:dyDescent="0.2">
      <c r="A126" s="9" t="s">
        <v>420</v>
      </c>
      <c r="B126" s="9" t="s">
        <v>44</v>
      </c>
      <c r="C126" s="9" t="s">
        <v>43</v>
      </c>
      <c r="D126" s="23"/>
      <c r="E126" s="28">
        <v>1</v>
      </c>
      <c r="F126" s="27">
        <v>1</v>
      </c>
      <c r="G126" s="30" t="s">
        <v>155</v>
      </c>
      <c r="H126" s="27" t="s">
        <v>155</v>
      </c>
      <c r="I126" s="25" t="s">
        <v>34</v>
      </c>
      <c r="J126" s="34">
        <f>IF(E126="","",raw_data!C118)</f>
        <v>0</v>
      </c>
      <c r="K126" s="19">
        <f>IF(E126="","",raw_data!D118)</f>
        <v>0</v>
      </c>
      <c r="L126" s="19">
        <f>IF(F126="","",raw_data!E118)</f>
        <v>0</v>
      </c>
      <c r="M126" s="19">
        <f>IF(E126="","",raw_data!F118)</f>
        <v>0</v>
      </c>
      <c r="N126" s="20" t="str">
        <f t="shared" si="6"/>
        <v>-</v>
      </c>
      <c r="O126" s="19">
        <f>IF(E126="","",raw_data!G118)</f>
        <v>0</v>
      </c>
      <c r="P126" s="20" t="str">
        <f t="shared" si="7"/>
        <v>-</v>
      </c>
      <c r="Q126" s="19">
        <f>IF(F126="","",raw_data!H118)</f>
        <v>0</v>
      </c>
      <c r="R126" s="37" t="str">
        <f t="shared" si="8"/>
        <v>-</v>
      </c>
      <c r="S126" s="41" t="str">
        <f t="shared" si="5"/>
        <v>erfüllt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2.75" customHeight="1" x14ac:dyDescent="0.2">
      <c r="A127" s="9" t="s">
        <v>421</v>
      </c>
      <c r="B127" s="9" t="s">
        <v>44</v>
      </c>
      <c r="C127" s="9" t="s">
        <v>43</v>
      </c>
      <c r="D127" s="23" t="s">
        <v>378</v>
      </c>
      <c r="E127" s="30">
        <v>0.5</v>
      </c>
      <c r="F127" s="31"/>
      <c r="G127" s="30" t="s">
        <v>155</v>
      </c>
      <c r="H127" s="31"/>
      <c r="I127" s="25" t="s">
        <v>34</v>
      </c>
      <c r="J127" s="34">
        <f>IF(E127="","",raw_data!C119)</f>
        <v>0</v>
      </c>
      <c r="K127" s="19">
        <f>IF(E127="","",raw_data!D119)</f>
        <v>0</v>
      </c>
      <c r="L127" s="19" t="str">
        <f>IF(F127="","",raw_data!E119)</f>
        <v/>
      </c>
      <c r="M127" s="19">
        <f>IF(E127="","",raw_data!F119)</f>
        <v>0</v>
      </c>
      <c r="N127" s="20" t="str">
        <f t="shared" si="6"/>
        <v>-</v>
      </c>
      <c r="O127" s="19">
        <f>IF(E127="","",raw_data!G119)</f>
        <v>0</v>
      </c>
      <c r="P127" s="20" t="str">
        <f t="shared" si="7"/>
        <v>-</v>
      </c>
      <c r="Q127" s="19" t="str">
        <f>IF(F127="","",raw_data!H119)</f>
        <v/>
      </c>
      <c r="R127" s="37" t="str">
        <f t="shared" si="8"/>
        <v/>
      </c>
      <c r="S127" s="41" t="str">
        <f t="shared" si="5"/>
        <v>erfüllt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2.75" customHeight="1" x14ac:dyDescent="0.2">
      <c r="A128" s="9">
        <v>12046</v>
      </c>
      <c r="B128" s="9" t="s">
        <v>44</v>
      </c>
      <c r="C128" s="9" t="s">
        <v>364</v>
      </c>
      <c r="D128" s="23"/>
      <c r="E128" s="30">
        <v>1</v>
      </c>
      <c r="F128" s="31">
        <v>1</v>
      </c>
      <c r="G128" s="30" t="s">
        <v>155</v>
      </c>
      <c r="H128" s="31" t="s">
        <v>155</v>
      </c>
      <c r="I128" s="25" t="s">
        <v>34</v>
      </c>
      <c r="J128" s="34">
        <f>IF(E128="","",raw_data!C120)</f>
        <v>0</v>
      </c>
      <c r="K128" s="19">
        <f>IF(E128="","",raw_data!D120)</f>
        <v>0</v>
      </c>
      <c r="L128" s="19">
        <f>IF(F128="","",raw_data!E120)</f>
        <v>0</v>
      </c>
      <c r="M128" s="19">
        <f>IF(E128="","",raw_data!F120)</f>
        <v>0</v>
      </c>
      <c r="N128" s="20" t="str">
        <f t="shared" si="6"/>
        <v>-</v>
      </c>
      <c r="O128" s="19">
        <f>IF(E128="","",raw_data!G120)</f>
        <v>0</v>
      </c>
      <c r="P128" s="20" t="str">
        <f t="shared" si="7"/>
        <v>-</v>
      </c>
      <c r="Q128" s="19">
        <f>IF(F128="","",raw_data!H120)</f>
        <v>0</v>
      </c>
      <c r="R128" s="37" t="str">
        <f t="shared" si="8"/>
        <v>-</v>
      </c>
      <c r="S128" s="41" t="str">
        <f t="shared" si="5"/>
        <v>erfüllt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2.75" x14ac:dyDescent="0.2">
      <c r="A129" s="9" t="s">
        <v>422</v>
      </c>
      <c r="B129" s="9" t="s">
        <v>57</v>
      </c>
      <c r="C129" s="9" t="s">
        <v>31</v>
      </c>
      <c r="D129" s="23"/>
      <c r="E129" s="42">
        <v>1</v>
      </c>
      <c r="F129" s="43"/>
      <c r="G129" s="42" t="s">
        <v>387</v>
      </c>
      <c r="H129" s="43"/>
      <c r="I129" s="25" t="s">
        <v>58</v>
      </c>
      <c r="J129" s="34">
        <f>IF(E129="","",raw_data!C121)</f>
        <v>0</v>
      </c>
      <c r="K129" s="85"/>
      <c r="L129" s="86"/>
      <c r="M129" s="19">
        <f>IF(E129="","",raw_data!F121)</f>
        <v>0</v>
      </c>
      <c r="N129" s="20" t="str">
        <f t="shared" si="6"/>
        <v>-</v>
      </c>
      <c r="O129" s="88"/>
      <c r="P129" s="89"/>
      <c r="Q129" s="89"/>
      <c r="R129" s="89"/>
      <c r="S129" s="41" t="str">
        <f t="shared" si="5"/>
        <v>erfüllt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2.75" x14ac:dyDescent="0.2">
      <c r="A130" s="9" t="s">
        <v>423</v>
      </c>
      <c r="B130" s="9" t="s">
        <v>57</v>
      </c>
      <c r="C130" s="9" t="s">
        <v>31</v>
      </c>
      <c r="D130" s="23" t="s">
        <v>377</v>
      </c>
      <c r="E130" s="42">
        <v>1</v>
      </c>
      <c r="F130" s="43"/>
      <c r="G130" s="42" t="s">
        <v>387</v>
      </c>
      <c r="H130" s="43"/>
      <c r="I130" s="25" t="s">
        <v>58</v>
      </c>
      <c r="J130" s="34">
        <f>IF(E130="","",raw_data!C122)</f>
        <v>0</v>
      </c>
      <c r="K130" s="46"/>
      <c r="L130" s="87"/>
      <c r="M130" s="19">
        <f>IF(E130="","",raw_data!F122)</f>
        <v>0</v>
      </c>
      <c r="N130" s="20" t="str">
        <f t="shared" si="6"/>
        <v>-</v>
      </c>
      <c r="O130" s="90"/>
      <c r="P130" s="91"/>
      <c r="Q130" s="91"/>
      <c r="R130" s="91"/>
      <c r="S130" s="41" t="str">
        <f t="shared" si="5"/>
        <v>erfüllt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2.75" x14ac:dyDescent="0.2">
      <c r="A131" s="9">
        <v>13002</v>
      </c>
      <c r="B131" s="9" t="s">
        <v>57</v>
      </c>
      <c r="C131" s="9" t="s">
        <v>19</v>
      </c>
      <c r="D131" s="23"/>
      <c r="E131" s="42"/>
      <c r="F131" s="43"/>
      <c r="G131" s="42"/>
      <c r="H131" s="43"/>
      <c r="I131" s="25" t="s">
        <v>58</v>
      </c>
      <c r="J131" s="34" t="str">
        <f>IF(E131="","",raw_data!C123)</f>
        <v/>
      </c>
      <c r="K131" s="46"/>
      <c r="L131" s="87"/>
      <c r="M131" s="19" t="str">
        <f>IF(E131="","",raw_data!F123)</f>
        <v/>
      </c>
      <c r="N131" s="20" t="str">
        <f t="shared" si="6"/>
        <v/>
      </c>
      <c r="O131" s="90"/>
      <c r="P131" s="91"/>
      <c r="Q131" s="91"/>
      <c r="R131" s="91"/>
      <c r="S131" s="41" t="str">
        <f t="shared" si="5"/>
        <v/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2.75" customHeight="1" x14ac:dyDescent="0.2">
      <c r="A132" s="9">
        <v>13003</v>
      </c>
      <c r="B132" s="9" t="s">
        <v>57</v>
      </c>
      <c r="C132" s="9" t="s">
        <v>59</v>
      </c>
      <c r="D132" s="23"/>
      <c r="E132" s="42">
        <v>1</v>
      </c>
      <c r="F132" s="43"/>
      <c r="G132" s="42" t="s">
        <v>155</v>
      </c>
      <c r="H132" s="43"/>
      <c r="I132" s="25" t="s">
        <v>58</v>
      </c>
      <c r="J132" s="34">
        <f>IF(E132="","",raw_data!C124)</f>
        <v>0</v>
      </c>
      <c r="K132" s="46"/>
      <c r="L132" s="87"/>
      <c r="M132" s="19">
        <f>IF(E132="","",raw_data!F124)</f>
        <v>0</v>
      </c>
      <c r="N132" s="20" t="str">
        <f t="shared" si="6"/>
        <v>-</v>
      </c>
      <c r="O132" s="90"/>
      <c r="P132" s="91"/>
      <c r="Q132" s="91"/>
      <c r="R132" s="91"/>
      <c r="S132" s="41" t="str">
        <f t="shared" si="5"/>
        <v>erfüllt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2.75" x14ac:dyDescent="0.2">
      <c r="A133" s="9">
        <v>13004</v>
      </c>
      <c r="B133" s="9" t="s">
        <v>57</v>
      </c>
      <c r="C133" s="9" t="s">
        <v>6</v>
      </c>
      <c r="D133" s="23"/>
      <c r="E133" s="42">
        <v>1</v>
      </c>
      <c r="F133" s="43"/>
      <c r="G133" s="42" t="s">
        <v>155</v>
      </c>
      <c r="H133" s="43"/>
      <c r="I133" s="25" t="s">
        <v>58</v>
      </c>
      <c r="J133" s="34">
        <f>IF(E133="","",raw_data!C125)</f>
        <v>0</v>
      </c>
      <c r="K133" s="46"/>
      <c r="L133" s="87"/>
      <c r="M133" s="19">
        <f>IF(E133="","",raw_data!F125)</f>
        <v>0</v>
      </c>
      <c r="N133" s="20" t="str">
        <f t="shared" si="6"/>
        <v>-</v>
      </c>
      <c r="O133" s="90"/>
      <c r="P133" s="91"/>
      <c r="Q133" s="91"/>
      <c r="R133" s="91"/>
      <c r="S133" s="41" t="str">
        <f t="shared" si="5"/>
        <v>erfüllt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2.75" x14ac:dyDescent="0.2">
      <c r="A134" s="9">
        <v>13005</v>
      </c>
      <c r="B134" s="9" t="s">
        <v>57</v>
      </c>
      <c r="C134" s="9" t="s">
        <v>160</v>
      </c>
      <c r="D134" s="23"/>
      <c r="E134" s="42"/>
      <c r="F134" s="43"/>
      <c r="G134" s="42"/>
      <c r="H134" s="43"/>
      <c r="I134" s="25" t="s">
        <v>58</v>
      </c>
      <c r="J134" s="34" t="str">
        <f>IF(E134="","",raw_data!C126)</f>
        <v/>
      </c>
      <c r="K134" s="46"/>
      <c r="L134" s="87"/>
      <c r="M134" s="19" t="str">
        <f>IF(E134="","",raw_data!F126)</f>
        <v/>
      </c>
      <c r="N134" s="20" t="str">
        <f t="shared" si="6"/>
        <v/>
      </c>
      <c r="O134" s="90"/>
      <c r="P134" s="91"/>
      <c r="Q134" s="91"/>
      <c r="R134" s="91"/>
      <c r="S134" s="41" t="str">
        <f t="shared" si="5"/>
        <v/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2.75" x14ac:dyDescent="0.2">
      <c r="A135" s="9">
        <v>13006</v>
      </c>
      <c r="B135" s="9" t="s">
        <v>57</v>
      </c>
      <c r="C135" s="9" t="s">
        <v>161</v>
      </c>
      <c r="D135" s="23"/>
      <c r="E135" s="42"/>
      <c r="F135" s="43"/>
      <c r="G135" s="42"/>
      <c r="H135" s="43"/>
      <c r="I135" s="25" t="s">
        <v>58</v>
      </c>
      <c r="J135" s="34" t="str">
        <f>IF(E135="","",raw_data!C127)</f>
        <v/>
      </c>
      <c r="K135" s="46"/>
      <c r="L135" s="87"/>
      <c r="M135" s="19" t="str">
        <f>IF(E135="","",raw_data!F127)</f>
        <v/>
      </c>
      <c r="N135" s="20" t="str">
        <f t="shared" si="6"/>
        <v/>
      </c>
      <c r="O135" s="90"/>
      <c r="P135" s="91"/>
      <c r="Q135" s="91"/>
      <c r="R135" s="91"/>
      <c r="S135" s="41" t="str">
        <f t="shared" si="5"/>
        <v/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2.75" x14ac:dyDescent="0.2">
      <c r="A136" s="9">
        <v>13007</v>
      </c>
      <c r="B136" s="9" t="s">
        <v>57</v>
      </c>
      <c r="C136" s="9" t="s">
        <v>60</v>
      </c>
      <c r="D136" s="23"/>
      <c r="E136" s="42">
        <v>1</v>
      </c>
      <c r="F136" s="43"/>
      <c r="G136" s="42" t="s">
        <v>155</v>
      </c>
      <c r="H136" s="43"/>
      <c r="I136" s="25" t="s">
        <v>58</v>
      </c>
      <c r="J136" s="34">
        <f>IF(E136="","",raw_data!C128)</f>
        <v>0</v>
      </c>
      <c r="K136" s="46"/>
      <c r="L136" s="87"/>
      <c r="M136" s="19">
        <f>IF(E136="","",raw_data!F128)</f>
        <v>0</v>
      </c>
      <c r="N136" s="20" t="str">
        <f t="shared" si="6"/>
        <v>-</v>
      </c>
      <c r="O136" s="90"/>
      <c r="P136" s="91"/>
      <c r="Q136" s="91"/>
      <c r="R136" s="91"/>
      <c r="S136" s="41" t="str">
        <f t="shared" si="5"/>
        <v>erfüllt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2.75" x14ac:dyDescent="0.2">
      <c r="A137" s="9">
        <v>13008</v>
      </c>
      <c r="B137" s="9" t="s">
        <v>57</v>
      </c>
      <c r="C137" s="9" t="s">
        <v>61</v>
      </c>
      <c r="D137" s="23"/>
      <c r="E137" s="42">
        <v>1</v>
      </c>
      <c r="F137" s="43"/>
      <c r="G137" s="42" t="s">
        <v>155</v>
      </c>
      <c r="H137" s="43"/>
      <c r="I137" s="25" t="s">
        <v>58</v>
      </c>
      <c r="J137" s="34">
        <f>IF(E137="","",raw_data!C129)</f>
        <v>0</v>
      </c>
      <c r="K137" s="46"/>
      <c r="L137" s="87"/>
      <c r="M137" s="19">
        <f>IF(E137="","",raw_data!F129)</f>
        <v>0</v>
      </c>
      <c r="N137" s="20" t="str">
        <f t="shared" si="6"/>
        <v>-</v>
      </c>
      <c r="O137" s="90"/>
      <c r="P137" s="91"/>
      <c r="Q137" s="91"/>
      <c r="R137" s="91"/>
      <c r="S137" s="41" t="str">
        <f t="shared" si="5"/>
        <v>erfüllt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2.75" x14ac:dyDescent="0.2">
      <c r="A138" s="9">
        <v>13009</v>
      </c>
      <c r="B138" s="9" t="s">
        <v>57</v>
      </c>
      <c r="C138" s="9" t="s">
        <v>62</v>
      </c>
      <c r="D138" s="23"/>
      <c r="E138" s="42">
        <v>1</v>
      </c>
      <c r="F138" s="43"/>
      <c r="G138" s="42" t="s">
        <v>155</v>
      </c>
      <c r="H138" s="43"/>
      <c r="I138" s="25" t="s">
        <v>58</v>
      </c>
      <c r="J138" s="34">
        <f>IF(E138="","",raw_data!C130)</f>
        <v>0</v>
      </c>
      <c r="K138" s="46"/>
      <c r="L138" s="87"/>
      <c r="M138" s="19">
        <f>IF(E138="","",raw_data!F130)</f>
        <v>0</v>
      </c>
      <c r="N138" s="20" t="str">
        <f t="shared" si="6"/>
        <v>-</v>
      </c>
      <c r="O138" s="90"/>
      <c r="P138" s="91"/>
      <c r="Q138" s="91"/>
      <c r="R138" s="91"/>
      <c r="S138" s="41" t="str">
        <f t="shared" ref="S138:S201" si="9">IF(E138="","",IF(OR(NOT(ISNUMBER(N138)),N138&lt;=(1-E138)),"erfüllt",IF(G138="Fehler","mit Fehler",IF(G138="Warnung","mit Warnung",""))))</f>
        <v>erfüllt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2.75" x14ac:dyDescent="0.2">
      <c r="A139" s="9">
        <v>13010</v>
      </c>
      <c r="B139" s="9" t="s">
        <v>57</v>
      </c>
      <c r="C139" s="9" t="s">
        <v>195</v>
      </c>
      <c r="D139" s="23"/>
      <c r="E139" s="42"/>
      <c r="F139" s="43"/>
      <c r="G139" s="42"/>
      <c r="H139" s="43"/>
      <c r="I139" s="25" t="s">
        <v>58</v>
      </c>
      <c r="J139" s="34" t="str">
        <f>IF(E139="","",raw_data!C131)</f>
        <v/>
      </c>
      <c r="K139" s="46"/>
      <c r="L139" s="87"/>
      <c r="M139" s="19" t="str">
        <f>IF(E139="","",raw_data!F131)</f>
        <v/>
      </c>
      <c r="N139" s="20" t="str">
        <f t="shared" ref="N139:N202" si="10">IF(E139="","",IFERROR(M139/J139,"-"))</f>
        <v/>
      </c>
      <c r="O139" s="90"/>
      <c r="P139" s="91"/>
      <c r="Q139" s="91"/>
      <c r="R139" s="91"/>
      <c r="S139" s="41" t="str">
        <f t="shared" si="9"/>
        <v/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2.75" x14ac:dyDescent="0.2">
      <c r="A140" s="9">
        <v>13011</v>
      </c>
      <c r="B140" s="9" t="s">
        <v>57</v>
      </c>
      <c r="C140" s="9" t="s">
        <v>196</v>
      </c>
      <c r="D140" s="23"/>
      <c r="E140" s="42">
        <v>1</v>
      </c>
      <c r="F140" s="43"/>
      <c r="G140" s="42" t="s">
        <v>155</v>
      </c>
      <c r="H140" s="43"/>
      <c r="I140" s="25" t="s">
        <v>58</v>
      </c>
      <c r="J140" s="34">
        <f>IF(E140="","",raw_data!C132)</f>
        <v>0</v>
      </c>
      <c r="K140" s="46"/>
      <c r="L140" s="87"/>
      <c r="M140" s="19">
        <f>IF(E140="","",raw_data!F132)</f>
        <v>0</v>
      </c>
      <c r="N140" s="20" t="str">
        <f t="shared" si="10"/>
        <v>-</v>
      </c>
      <c r="O140" s="90"/>
      <c r="P140" s="91"/>
      <c r="Q140" s="91"/>
      <c r="R140" s="91"/>
      <c r="S140" s="41" t="str">
        <f t="shared" si="9"/>
        <v>erfüllt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2.75" x14ac:dyDescent="0.2">
      <c r="A141" s="9" t="s">
        <v>424</v>
      </c>
      <c r="B141" s="9" t="s">
        <v>57</v>
      </c>
      <c r="C141" s="9" t="s">
        <v>63</v>
      </c>
      <c r="D141" s="23"/>
      <c r="E141" s="42">
        <v>1</v>
      </c>
      <c r="F141" s="43"/>
      <c r="G141" s="42" t="s">
        <v>155</v>
      </c>
      <c r="H141" s="43"/>
      <c r="I141" s="25" t="s">
        <v>58</v>
      </c>
      <c r="J141" s="34">
        <f>IF(E141="","",raw_data!C133)</f>
        <v>0</v>
      </c>
      <c r="K141" s="46"/>
      <c r="L141" s="87"/>
      <c r="M141" s="19">
        <f>IF(E141="","",raw_data!F133)</f>
        <v>0</v>
      </c>
      <c r="N141" s="20" t="str">
        <f t="shared" si="10"/>
        <v>-</v>
      </c>
      <c r="O141" s="90"/>
      <c r="P141" s="91"/>
      <c r="Q141" s="91"/>
      <c r="R141" s="91"/>
      <c r="S141" s="41" t="str">
        <f t="shared" si="9"/>
        <v>erfüllt</v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2.75" x14ac:dyDescent="0.2">
      <c r="A142" s="9" t="s">
        <v>425</v>
      </c>
      <c r="B142" s="9" t="s">
        <v>57</v>
      </c>
      <c r="C142" s="9" t="s">
        <v>63</v>
      </c>
      <c r="D142" s="23" t="s">
        <v>377</v>
      </c>
      <c r="E142" s="42">
        <v>1</v>
      </c>
      <c r="F142" s="43"/>
      <c r="G142" s="42" t="s">
        <v>155</v>
      </c>
      <c r="H142" s="43"/>
      <c r="I142" s="25" t="s">
        <v>58</v>
      </c>
      <c r="J142" s="34">
        <f>IF(E142="","",raw_data!C134)</f>
        <v>0</v>
      </c>
      <c r="K142" s="46"/>
      <c r="L142" s="87"/>
      <c r="M142" s="19">
        <f>IF(E142="","",raw_data!F134)</f>
        <v>0</v>
      </c>
      <c r="N142" s="20" t="str">
        <f t="shared" si="10"/>
        <v>-</v>
      </c>
      <c r="O142" s="90"/>
      <c r="P142" s="91"/>
      <c r="Q142" s="91"/>
      <c r="R142" s="91"/>
      <c r="S142" s="41" t="str">
        <f t="shared" si="9"/>
        <v>erfüllt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2.75" x14ac:dyDescent="0.2">
      <c r="A143" s="9">
        <v>13013</v>
      </c>
      <c r="B143" s="9" t="s">
        <v>57</v>
      </c>
      <c r="C143" s="9" t="s">
        <v>162</v>
      </c>
      <c r="D143" s="23"/>
      <c r="E143" s="42"/>
      <c r="F143" s="43"/>
      <c r="G143" s="42"/>
      <c r="H143" s="43"/>
      <c r="I143" s="25" t="s">
        <v>58</v>
      </c>
      <c r="J143" s="34" t="str">
        <f>IF(E143="","",raw_data!C135)</f>
        <v/>
      </c>
      <c r="K143" s="46"/>
      <c r="L143" s="87"/>
      <c r="M143" s="19" t="str">
        <f>IF(E143="","",raw_data!F135)</f>
        <v/>
      </c>
      <c r="N143" s="20" t="str">
        <f t="shared" si="10"/>
        <v/>
      </c>
      <c r="O143" s="90"/>
      <c r="P143" s="91"/>
      <c r="Q143" s="91"/>
      <c r="R143" s="91"/>
      <c r="S143" s="41" t="str">
        <f t="shared" si="9"/>
        <v/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2.75" x14ac:dyDescent="0.2">
      <c r="A144" s="9">
        <v>13014</v>
      </c>
      <c r="B144" s="9" t="s">
        <v>57</v>
      </c>
      <c r="C144" s="9" t="s">
        <v>64</v>
      </c>
      <c r="D144" s="23"/>
      <c r="E144" s="42"/>
      <c r="F144" s="43"/>
      <c r="G144" s="42"/>
      <c r="H144" s="43"/>
      <c r="I144" s="25" t="s">
        <v>58</v>
      </c>
      <c r="J144" s="34" t="str">
        <f>IF(E144="","",raw_data!C136)</f>
        <v/>
      </c>
      <c r="K144" s="46"/>
      <c r="L144" s="87"/>
      <c r="M144" s="19" t="str">
        <f>IF(E144="","",raw_data!F136)</f>
        <v/>
      </c>
      <c r="N144" s="20" t="str">
        <f t="shared" si="10"/>
        <v/>
      </c>
      <c r="O144" s="90"/>
      <c r="P144" s="91"/>
      <c r="Q144" s="91"/>
      <c r="R144" s="91"/>
      <c r="S144" s="41" t="str">
        <f t="shared" si="9"/>
        <v/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2.75" x14ac:dyDescent="0.2">
      <c r="A145" s="9">
        <v>13015</v>
      </c>
      <c r="B145" s="9" t="s">
        <v>57</v>
      </c>
      <c r="C145" s="9" t="s">
        <v>197</v>
      </c>
      <c r="D145" s="23"/>
      <c r="E145" s="42"/>
      <c r="F145" s="43"/>
      <c r="G145" s="42"/>
      <c r="H145" s="43"/>
      <c r="I145" s="25" t="s">
        <v>58</v>
      </c>
      <c r="J145" s="34" t="str">
        <f>IF(E145="","",raw_data!C137)</f>
        <v/>
      </c>
      <c r="K145" s="46"/>
      <c r="L145" s="87"/>
      <c r="M145" s="19" t="str">
        <f>IF(E145="","",raw_data!F137)</f>
        <v/>
      </c>
      <c r="N145" s="20" t="str">
        <f t="shared" si="10"/>
        <v/>
      </c>
      <c r="O145" s="90"/>
      <c r="P145" s="91"/>
      <c r="Q145" s="91"/>
      <c r="R145" s="91"/>
      <c r="S145" s="41" t="str">
        <f t="shared" si="9"/>
        <v/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2.75" customHeight="1" x14ac:dyDescent="0.2">
      <c r="A146" s="9">
        <v>13016</v>
      </c>
      <c r="B146" s="9" t="s">
        <v>57</v>
      </c>
      <c r="C146" s="9" t="s">
        <v>9</v>
      </c>
      <c r="D146" s="23"/>
      <c r="E146" s="42">
        <v>1</v>
      </c>
      <c r="F146" s="43"/>
      <c r="G146" s="42" t="s">
        <v>155</v>
      </c>
      <c r="H146" s="43"/>
      <c r="I146" s="25" t="s">
        <v>58</v>
      </c>
      <c r="J146" s="34">
        <f>IF(E146="","",raw_data!C138)</f>
        <v>0</v>
      </c>
      <c r="K146" s="46"/>
      <c r="L146" s="87"/>
      <c r="M146" s="19">
        <f>IF(E146="","",raw_data!F138)</f>
        <v>0</v>
      </c>
      <c r="N146" s="20" t="str">
        <f t="shared" si="10"/>
        <v>-</v>
      </c>
      <c r="O146" s="90"/>
      <c r="P146" s="91"/>
      <c r="Q146" s="91"/>
      <c r="R146" s="91"/>
      <c r="S146" s="41" t="str">
        <f t="shared" si="9"/>
        <v>erfüllt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2.75" x14ac:dyDescent="0.2">
      <c r="A147" s="9">
        <v>13017</v>
      </c>
      <c r="B147" s="9" t="s">
        <v>57</v>
      </c>
      <c r="C147" s="9" t="s">
        <v>66</v>
      </c>
      <c r="D147" s="23"/>
      <c r="E147" s="42"/>
      <c r="F147" s="43"/>
      <c r="G147" s="42"/>
      <c r="H147" s="43"/>
      <c r="I147" s="25" t="s">
        <v>58</v>
      </c>
      <c r="J147" s="34" t="str">
        <f>IF(E147="","",raw_data!C139)</f>
        <v/>
      </c>
      <c r="K147" s="46"/>
      <c r="L147" s="87"/>
      <c r="M147" s="19" t="str">
        <f>IF(E147="","",raw_data!F139)</f>
        <v/>
      </c>
      <c r="N147" s="20" t="str">
        <f t="shared" si="10"/>
        <v/>
      </c>
      <c r="O147" s="90"/>
      <c r="P147" s="91"/>
      <c r="Q147" s="91"/>
      <c r="R147" s="91"/>
      <c r="S147" s="41" t="str">
        <f t="shared" si="9"/>
        <v/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2.75" x14ac:dyDescent="0.2">
      <c r="A148" s="9">
        <v>13018</v>
      </c>
      <c r="B148" s="9" t="s">
        <v>57</v>
      </c>
      <c r="C148" s="9" t="s">
        <v>198</v>
      </c>
      <c r="D148" s="23"/>
      <c r="E148" s="42">
        <v>1</v>
      </c>
      <c r="F148" s="43"/>
      <c r="G148" s="42" t="s">
        <v>155</v>
      </c>
      <c r="H148" s="43"/>
      <c r="I148" s="25" t="s">
        <v>58</v>
      </c>
      <c r="J148" s="34">
        <f>IF(E148="","",raw_data!C140)</f>
        <v>0</v>
      </c>
      <c r="K148" s="46"/>
      <c r="L148" s="87"/>
      <c r="M148" s="19">
        <f>IF(E148="","",raw_data!F140)</f>
        <v>0</v>
      </c>
      <c r="N148" s="20" t="str">
        <f t="shared" si="10"/>
        <v>-</v>
      </c>
      <c r="O148" s="90"/>
      <c r="P148" s="91"/>
      <c r="Q148" s="91"/>
      <c r="R148" s="91"/>
      <c r="S148" s="41" t="str">
        <f t="shared" si="9"/>
        <v>erfüllt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2.75" customHeight="1" x14ac:dyDescent="0.2">
      <c r="A149" s="9">
        <v>13019</v>
      </c>
      <c r="B149" s="9" t="s">
        <v>57</v>
      </c>
      <c r="C149" s="9" t="s">
        <v>199</v>
      </c>
      <c r="D149" s="23"/>
      <c r="E149" s="42">
        <v>1</v>
      </c>
      <c r="F149" s="43"/>
      <c r="G149" s="42" t="s">
        <v>155</v>
      </c>
      <c r="H149" s="43"/>
      <c r="I149" s="25" t="s">
        <v>58</v>
      </c>
      <c r="J149" s="34">
        <f>IF(E149="","",raw_data!C141)</f>
        <v>0</v>
      </c>
      <c r="K149" s="46"/>
      <c r="L149" s="87"/>
      <c r="M149" s="19">
        <f>IF(E149="","",raw_data!F141)</f>
        <v>0</v>
      </c>
      <c r="N149" s="20" t="str">
        <f t="shared" si="10"/>
        <v>-</v>
      </c>
      <c r="O149" s="90"/>
      <c r="P149" s="91"/>
      <c r="Q149" s="91"/>
      <c r="R149" s="91"/>
      <c r="S149" s="41" t="str">
        <f t="shared" si="9"/>
        <v>erfüllt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2.75" customHeight="1" x14ac:dyDescent="0.2">
      <c r="A150" s="9">
        <v>13020</v>
      </c>
      <c r="B150" s="9" t="s">
        <v>57</v>
      </c>
      <c r="C150" s="9" t="s">
        <v>67</v>
      </c>
      <c r="D150" s="23"/>
      <c r="E150" s="42"/>
      <c r="F150" s="43"/>
      <c r="G150" s="42"/>
      <c r="H150" s="43"/>
      <c r="I150" s="25" t="s">
        <v>58</v>
      </c>
      <c r="J150" s="34" t="str">
        <f>IF(E150="","",raw_data!C142)</f>
        <v/>
      </c>
      <c r="K150" s="46"/>
      <c r="L150" s="87"/>
      <c r="M150" s="19" t="str">
        <f>IF(E150="","",raw_data!F142)</f>
        <v/>
      </c>
      <c r="N150" s="20" t="str">
        <f t="shared" si="10"/>
        <v/>
      </c>
      <c r="O150" s="90"/>
      <c r="P150" s="91"/>
      <c r="Q150" s="91"/>
      <c r="R150" s="91"/>
      <c r="S150" s="41" t="str">
        <f t="shared" si="9"/>
        <v/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2.75" customHeight="1" x14ac:dyDescent="0.2">
      <c r="A151" s="9">
        <v>14001</v>
      </c>
      <c r="B151" s="9" t="s">
        <v>68</v>
      </c>
      <c r="C151" s="9" t="s">
        <v>31</v>
      </c>
      <c r="D151" s="23"/>
      <c r="E151" s="42"/>
      <c r="F151" s="43"/>
      <c r="G151" s="42"/>
      <c r="H151" s="43"/>
      <c r="I151" s="25" t="s">
        <v>15</v>
      </c>
      <c r="J151" s="34" t="str">
        <f>IF(E151="","",raw_data!C143)</f>
        <v/>
      </c>
      <c r="K151" s="46"/>
      <c r="L151" s="87"/>
      <c r="M151" s="19" t="str">
        <f>IF(E151="","",raw_data!F143)</f>
        <v/>
      </c>
      <c r="N151" s="20" t="str">
        <f t="shared" si="10"/>
        <v/>
      </c>
      <c r="O151" s="90"/>
      <c r="P151" s="91"/>
      <c r="Q151" s="91"/>
      <c r="R151" s="91"/>
      <c r="S151" s="41" t="str">
        <f t="shared" si="9"/>
        <v/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2.75" customHeight="1" x14ac:dyDescent="0.2">
      <c r="A152" s="9">
        <v>14002</v>
      </c>
      <c r="B152" s="9" t="s">
        <v>68</v>
      </c>
      <c r="C152" s="9" t="s">
        <v>200</v>
      </c>
      <c r="D152" s="23"/>
      <c r="E152" s="42"/>
      <c r="F152" s="43"/>
      <c r="G152" s="42"/>
      <c r="H152" s="43"/>
      <c r="I152" s="25" t="s">
        <v>15</v>
      </c>
      <c r="J152" s="34" t="str">
        <f>IF(E152="","",raw_data!C144)</f>
        <v/>
      </c>
      <c r="K152" s="46"/>
      <c r="L152" s="87"/>
      <c r="M152" s="19" t="str">
        <f>IF(E152="","",raw_data!F144)</f>
        <v/>
      </c>
      <c r="N152" s="20" t="str">
        <f t="shared" si="10"/>
        <v/>
      </c>
      <c r="O152" s="90"/>
      <c r="P152" s="91"/>
      <c r="Q152" s="91"/>
      <c r="R152" s="91"/>
      <c r="S152" s="41" t="str">
        <f t="shared" si="9"/>
        <v/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2.75" customHeight="1" x14ac:dyDescent="0.2">
      <c r="A153" s="9">
        <v>14003</v>
      </c>
      <c r="B153" s="9" t="s">
        <v>68</v>
      </c>
      <c r="C153" s="9" t="s">
        <v>19</v>
      </c>
      <c r="D153" s="23"/>
      <c r="E153" s="42"/>
      <c r="F153" s="43"/>
      <c r="G153" s="42"/>
      <c r="H153" s="43"/>
      <c r="I153" s="25" t="s">
        <v>15</v>
      </c>
      <c r="J153" s="34" t="str">
        <f>IF(E153="","",raw_data!C145)</f>
        <v/>
      </c>
      <c r="K153" s="46"/>
      <c r="L153" s="87"/>
      <c r="M153" s="19" t="str">
        <f>IF(E153="","",raw_data!F145)</f>
        <v/>
      </c>
      <c r="N153" s="20" t="str">
        <f t="shared" si="10"/>
        <v/>
      </c>
      <c r="O153" s="90"/>
      <c r="P153" s="91"/>
      <c r="Q153" s="91"/>
      <c r="R153" s="91"/>
      <c r="S153" s="41" t="str">
        <f t="shared" si="9"/>
        <v/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2.75" customHeight="1" x14ac:dyDescent="0.2">
      <c r="A154" s="9">
        <v>14004</v>
      </c>
      <c r="B154" s="9" t="s">
        <v>68</v>
      </c>
      <c r="C154" s="9" t="s">
        <v>6</v>
      </c>
      <c r="D154" s="23"/>
      <c r="E154" s="42"/>
      <c r="F154" s="43"/>
      <c r="G154" s="42"/>
      <c r="H154" s="43"/>
      <c r="I154" s="25" t="s">
        <v>15</v>
      </c>
      <c r="J154" s="34" t="str">
        <f>IF(E154="","",raw_data!C146)</f>
        <v/>
      </c>
      <c r="K154" s="46"/>
      <c r="L154" s="87"/>
      <c r="M154" s="19" t="str">
        <f>IF(E154="","",raw_data!F146)</f>
        <v/>
      </c>
      <c r="N154" s="20" t="str">
        <f t="shared" si="10"/>
        <v/>
      </c>
      <c r="O154" s="90"/>
      <c r="P154" s="91"/>
      <c r="Q154" s="91"/>
      <c r="R154" s="91"/>
      <c r="S154" s="41" t="str">
        <f t="shared" si="9"/>
        <v/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2.75" customHeight="1" x14ac:dyDescent="0.2">
      <c r="A155" s="9">
        <v>14005</v>
      </c>
      <c r="B155" s="9" t="s">
        <v>68</v>
      </c>
      <c r="C155" s="9" t="s">
        <v>69</v>
      </c>
      <c r="D155" s="23"/>
      <c r="E155" s="42"/>
      <c r="F155" s="43"/>
      <c r="G155" s="42"/>
      <c r="H155" s="43"/>
      <c r="I155" s="25" t="s">
        <v>15</v>
      </c>
      <c r="J155" s="34" t="str">
        <f>IF(E155="","",raw_data!C147)</f>
        <v/>
      </c>
      <c r="K155" s="46"/>
      <c r="L155" s="87"/>
      <c r="M155" s="19" t="str">
        <f>IF(E155="","",raw_data!F147)</f>
        <v/>
      </c>
      <c r="N155" s="20" t="str">
        <f t="shared" si="10"/>
        <v/>
      </c>
      <c r="O155" s="90"/>
      <c r="P155" s="91"/>
      <c r="Q155" s="91"/>
      <c r="R155" s="91"/>
      <c r="S155" s="41" t="str">
        <f t="shared" si="9"/>
        <v/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2.75" customHeight="1" x14ac:dyDescent="0.2">
      <c r="A156" s="9">
        <v>14006</v>
      </c>
      <c r="B156" s="9" t="s">
        <v>68</v>
      </c>
      <c r="C156" s="9" t="s">
        <v>70</v>
      </c>
      <c r="D156" s="23"/>
      <c r="E156" s="42"/>
      <c r="F156" s="43"/>
      <c r="G156" s="42"/>
      <c r="H156" s="43"/>
      <c r="I156" s="25" t="s">
        <v>15</v>
      </c>
      <c r="J156" s="34" t="str">
        <f>IF(E156="","",raw_data!C148)</f>
        <v/>
      </c>
      <c r="K156" s="46"/>
      <c r="L156" s="87"/>
      <c r="M156" s="19" t="str">
        <f>IF(E156="","",raw_data!F148)</f>
        <v/>
      </c>
      <c r="N156" s="20" t="str">
        <f t="shared" si="10"/>
        <v/>
      </c>
      <c r="O156" s="90"/>
      <c r="P156" s="91"/>
      <c r="Q156" s="91"/>
      <c r="R156" s="91"/>
      <c r="S156" s="41" t="str">
        <f t="shared" si="9"/>
        <v/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2.75" customHeight="1" x14ac:dyDescent="0.2">
      <c r="A157" s="9">
        <v>14007</v>
      </c>
      <c r="B157" s="9" t="s">
        <v>68</v>
      </c>
      <c r="C157" s="9" t="s">
        <v>162</v>
      </c>
      <c r="D157" s="23"/>
      <c r="E157" s="42"/>
      <c r="F157" s="43"/>
      <c r="G157" s="42"/>
      <c r="H157" s="43"/>
      <c r="I157" s="25" t="s">
        <v>15</v>
      </c>
      <c r="J157" s="34" t="str">
        <f>IF(E157="","",raw_data!C149)</f>
        <v/>
      </c>
      <c r="K157" s="46"/>
      <c r="L157" s="87"/>
      <c r="M157" s="19" t="str">
        <f>IF(E157="","",raw_data!F149)</f>
        <v/>
      </c>
      <c r="N157" s="20" t="str">
        <f t="shared" si="10"/>
        <v/>
      </c>
      <c r="O157" s="90"/>
      <c r="P157" s="91"/>
      <c r="Q157" s="91"/>
      <c r="R157" s="91"/>
      <c r="S157" s="41" t="str">
        <f t="shared" si="9"/>
        <v/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2.75" customHeight="1" x14ac:dyDescent="0.2">
      <c r="A158" s="9">
        <v>14008</v>
      </c>
      <c r="B158" s="9" t="s">
        <v>68</v>
      </c>
      <c r="C158" s="9" t="s">
        <v>9</v>
      </c>
      <c r="D158" s="23"/>
      <c r="E158" s="42"/>
      <c r="F158" s="43"/>
      <c r="G158" s="42"/>
      <c r="H158" s="43"/>
      <c r="I158" s="25" t="s">
        <v>15</v>
      </c>
      <c r="J158" s="34" t="str">
        <f>IF(E158="","",raw_data!C150)</f>
        <v/>
      </c>
      <c r="K158" s="46"/>
      <c r="L158" s="87"/>
      <c r="M158" s="19" t="str">
        <f>IF(E158="","",raw_data!F150)</f>
        <v/>
      </c>
      <c r="N158" s="20" t="str">
        <f t="shared" si="10"/>
        <v/>
      </c>
      <c r="O158" s="90"/>
      <c r="P158" s="91"/>
      <c r="Q158" s="91"/>
      <c r="R158" s="91"/>
      <c r="S158" s="41" t="str">
        <f t="shared" si="9"/>
        <v/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2.75" customHeight="1" x14ac:dyDescent="0.2">
      <c r="A159" s="9">
        <v>14009</v>
      </c>
      <c r="B159" s="9" t="s">
        <v>68</v>
      </c>
      <c r="C159" s="9" t="s">
        <v>71</v>
      </c>
      <c r="D159" s="23"/>
      <c r="E159" s="42"/>
      <c r="F159" s="43"/>
      <c r="G159" s="42"/>
      <c r="H159" s="43"/>
      <c r="I159" s="25" t="s">
        <v>15</v>
      </c>
      <c r="J159" s="34" t="str">
        <f>IF(E159="","",raw_data!C151)</f>
        <v/>
      </c>
      <c r="K159" s="46"/>
      <c r="L159" s="87"/>
      <c r="M159" s="19" t="str">
        <f>IF(E159="","",raw_data!F151)</f>
        <v/>
      </c>
      <c r="N159" s="20" t="str">
        <f t="shared" si="10"/>
        <v/>
      </c>
      <c r="O159" s="90"/>
      <c r="P159" s="91"/>
      <c r="Q159" s="91"/>
      <c r="R159" s="91"/>
      <c r="S159" s="41" t="str">
        <f t="shared" si="9"/>
        <v/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2.75" customHeight="1" x14ac:dyDescent="0.2">
      <c r="A160" s="9">
        <v>15001</v>
      </c>
      <c r="B160" s="9" t="s">
        <v>72</v>
      </c>
      <c r="C160" s="9" t="s">
        <v>19</v>
      </c>
      <c r="D160" s="23"/>
      <c r="E160" s="42"/>
      <c r="F160" s="43"/>
      <c r="G160" s="42"/>
      <c r="H160" s="43"/>
      <c r="I160" s="25" t="s">
        <v>15</v>
      </c>
      <c r="J160" s="34" t="str">
        <f>IF(E160="","",raw_data!C152)</f>
        <v/>
      </c>
      <c r="K160" s="46"/>
      <c r="L160" s="87"/>
      <c r="M160" s="19" t="str">
        <f>IF(E160="","",raw_data!F152)</f>
        <v/>
      </c>
      <c r="N160" s="20" t="str">
        <f t="shared" si="10"/>
        <v/>
      </c>
      <c r="O160" s="90"/>
      <c r="P160" s="91"/>
      <c r="Q160" s="91"/>
      <c r="R160" s="91"/>
      <c r="S160" s="41" t="str">
        <f t="shared" si="9"/>
        <v/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2.75" customHeight="1" x14ac:dyDescent="0.2">
      <c r="A161" s="9">
        <v>15002</v>
      </c>
      <c r="B161" s="9" t="s">
        <v>72</v>
      </c>
      <c r="C161" s="9" t="s">
        <v>6</v>
      </c>
      <c r="D161" s="23"/>
      <c r="E161" s="42">
        <v>1</v>
      </c>
      <c r="F161" s="43"/>
      <c r="G161" s="42" t="s">
        <v>155</v>
      </c>
      <c r="H161" s="43"/>
      <c r="I161" s="25" t="s">
        <v>15</v>
      </c>
      <c r="J161" s="34">
        <f>IF(E161="","",raw_data!C153)</f>
        <v>0</v>
      </c>
      <c r="K161" s="46"/>
      <c r="L161" s="87"/>
      <c r="M161" s="19">
        <f>IF(E161="","",raw_data!F153)</f>
        <v>0</v>
      </c>
      <c r="N161" s="20" t="str">
        <f t="shared" si="10"/>
        <v>-</v>
      </c>
      <c r="O161" s="90"/>
      <c r="P161" s="91"/>
      <c r="Q161" s="91"/>
      <c r="R161" s="91"/>
      <c r="S161" s="41" t="str">
        <f t="shared" si="9"/>
        <v>erfüllt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2.75" customHeight="1" x14ac:dyDescent="0.2">
      <c r="A162" s="9">
        <v>15003</v>
      </c>
      <c r="B162" s="9" t="s">
        <v>72</v>
      </c>
      <c r="C162" s="9" t="s">
        <v>160</v>
      </c>
      <c r="D162" s="23"/>
      <c r="E162" s="42"/>
      <c r="F162" s="43"/>
      <c r="G162" s="42"/>
      <c r="H162" s="43"/>
      <c r="I162" s="25" t="s">
        <v>15</v>
      </c>
      <c r="J162" s="34" t="str">
        <f>IF(E162="","",raw_data!C154)</f>
        <v/>
      </c>
      <c r="K162" s="46"/>
      <c r="L162" s="87"/>
      <c r="M162" s="19" t="str">
        <f>IF(E162="","",raw_data!F154)</f>
        <v/>
      </c>
      <c r="N162" s="20" t="str">
        <f t="shared" si="10"/>
        <v/>
      </c>
      <c r="O162" s="90"/>
      <c r="P162" s="91"/>
      <c r="Q162" s="91"/>
      <c r="R162" s="91"/>
      <c r="S162" s="41" t="str">
        <f t="shared" si="9"/>
        <v/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2.75" customHeight="1" x14ac:dyDescent="0.2">
      <c r="A163" s="9">
        <v>15004</v>
      </c>
      <c r="B163" s="9" t="s">
        <v>72</v>
      </c>
      <c r="C163" s="9" t="s">
        <v>161</v>
      </c>
      <c r="D163" s="23"/>
      <c r="E163" s="42"/>
      <c r="F163" s="43"/>
      <c r="G163" s="42"/>
      <c r="H163" s="43"/>
      <c r="I163" s="25" t="s">
        <v>15</v>
      </c>
      <c r="J163" s="34" t="str">
        <f>IF(E163="","",raw_data!C155)</f>
        <v/>
      </c>
      <c r="K163" s="46"/>
      <c r="L163" s="87"/>
      <c r="M163" s="19" t="str">
        <f>IF(E163="","",raw_data!F155)</f>
        <v/>
      </c>
      <c r="N163" s="20" t="str">
        <f t="shared" si="10"/>
        <v/>
      </c>
      <c r="O163" s="90"/>
      <c r="P163" s="91"/>
      <c r="Q163" s="91"/>
      <c r="R163" s="91"/>
      <c r="S163" s="41" t="str">
        <f t="shared" si="9"/>
        <v/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2.75" customHeight="1" x14ac:dyDescent="0.2">
      <c r="A164" s="9">
        <v>15005</v>
      </c>
      <c r="B164" s="9" t="s">
        <v>72</v>
      </c>
      <c r="C164" s="9" t="s">
        <v>162</v>
      </c>
      <c r="D164" s="23"/>
      <c r="E164" s="42"/>
      <c r="F164" s="43"/>
      <c r="G164" s="42"/>
      <c r="H164" s="43"/>
      <c r="I164" s="25" t="s">
        <v>15</v>
      </c>
      <c r="J164" s="34" t="str">
        <f>IF(E164="","",raw_data!C156)</f>
        <v/>
      </c>
      <c r="K164" s="46"/>
      <c r="L164" s="87"/>
      <c r="M164" s="19" t="str">
        <f>IF(E164="","",raw_data!F156)</f>
        <v/>
      </c>
      <c r="N164" s="20" t="str">
        <f t="shared" si="10"/>
        <v/>
      </c>
      <c r="O164" s="90"/>
      <c r="P164" s="91"/>
      <c r="Q164" s="91"/>
      <c r="R164" s="91"/>
      <c r="S164" s="41" t="str">
        <f t="shared" si="9"/>
        <v/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2.75" customHeight="1" x14ac:dyDescent="0.2">
      <c r="A165" s="9">
        <v>15006</v>
      </c>
      <c r="B165" s="9" t="s">
        <v>72</v>
      </c>
      <c r="C165" s="9" t="s">
        <v>9</v>
      </c>
      <c r="D165" s="23"/>
      <c r="E165" s="42">
        <v>1</v>
      </c>
      <c r="F165" s="43"/>
      <c r="G165" s="42" t="s">
        <v>155</v>
      </c>
      <c r="H165" s="43"/>
      <c r="I165" s="25" t="s">
        <v>15</v>
      </c>
      <c r="J165" s="34">
        <f>IF(E165="","",raw_data!C157)</f>
        <v>0</v>
      </c>
      <c r="K165" s="46"/>
      <c r="L165" s="87"/>
      <c r="M165" s="19">
        <f>IF(E165="","",raw_data!F157)</f>
        <v>0</v>
      </c>
      <c r="N165" s="20" t="str">
        <f t="shared" si="10"/>
        <v>-</v>
      </c>
      <c r="O165" s="90"/>
      <c r="P165" s="91"/>
      <c r="Q165" s="91"/>
      <c r="R165" s="91"/>
      <c r="S165" s="41" t="str">
        <f t="shared" si="9"/>
        <v>erfüllt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2.75" customHeight="1" x14ac:dyDescent="0.2">
      <c r="A166" s="9">
        <v>15007</v>
      </c>
      <c r="B166" s="9" t="s">
        <v>73</v>
      </c>
      <c r="C166" s="9" t="s">
        <v>160</v>
      </c>
      <c r="D166" s="23"/>
      <c r="E166" s="42"/>
      <c r="F166" s="43"/>
      <c r="G166" s="42"/>
      <c r="H166" s="43"/>
      <c r="I166" s="25" t="s">
        <v>15</v>
      </c>
      <c r="J166" s="34" t="str">
        <f>IF(E166="","",raw_data!C158)</f>
        <v/>
      </c>
      <c r="K166" s="46"/>
      <c r="L166" s="87"/>
      <c r="M166" s="19" t="str">
        <f>IF(E166="","",raw_data!F158)</f>
        <v/>
      </c>
      <c r="N166" s="20" t="str">
        <f t="shared" si="10"/>
        <v/>
      </c>
      <c r="O166" s="90"/>
      <c r="P166" s="91"/>
      <c r="Q166" s="91"/>
      <c r="R166" s="91"/>
      <c r="S166" s="41" t="str">
        <f t="shared" si="9"/>
        <v/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2.75" customHeight="1" x14ac:dyDescent="0.2">
      <c r="A167" s="9">
        <v>15008</v>
      </c>
      <c r="B167" s="9" t="s">
        <v>73</v>
      </c>
      <c r="C167" s="9" t="s">
        <v>161</v>
      </c>
      <c r="D167" s="23"/>
      <c r="E167" s="42"/>
      <c r="F167" s="43"/>
      <c r="G167" s="42"/>
      <c r="H167" s="43"/>
      <c r="I167" s="25" t="s">
        <v>15</v>
      </c>
      <c r="J167" s="34" t="str">
        <f>IF(E167="","",raw_data!C159)</f>
        <v/>
      </c>
      <c r="K167" s="46"/>
      <c r="L167" s="87"/>
      <c r="M167" s="19" t="str">
        <f>IF(E167="","",raw_data!F159)</f>
        <v/>
      </c>
      <c r="N167" s="20" t="str">
        <f t="shared" si="10"/>
        <v/>
      </c>
      <c r="O167" s="90"/>
      <c r="P167" s="91"/>
      <c r="Q167" s="91"/>
      <c r="R167" s="91"/>
      <c r="S167" s="41" t="str">
        <f t="shared" si="9"/>
        <v/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2.75" customHeight="1" x14ac:dyDescent="0.2">
      <c r="A168" s="9">
        <v>15009</v>
      </c>
      <c r="B168" s="9" t="s">
        <v>73</v>
      </c>
      <c r="C168" s="9" t="s">
        <v>162</v>
      </c>
      <c r="D168" s="23"/>
      <c r="E168" s="42"/>
      <c r="F168" s="43"/>
      <c r="G168" s="42"/>
      <c r="H168" s="43"/>
      <c r="I168" s="25" t="s">
        <v>15</v>
      </c>
      <c r="J168" s="34" t="str">
        <f>IF(E168="","",raw_data!C160)</f>
        <v/>
      </c>
      <c r="K168" s="46"/>
      <c r="L168" s="87"/>
      <c r="M168" s="19" t="str">
        <f>IF(E168="","",raw_data!F160)</f>
        <v/>
      </c>
      <c r="N168" s="20" t="str">
        <f t="shared" si="10"/>
        <v/>
      </c>
      <c r="O168" s="90"/>
      <c r="P168" s="91"/>
      <c r="Q168" s="91"/>
      <c r="R168" s="91"/>
      <c r="S168" s="41" t="str">
        <f t="shared" si="9"/>
        <v/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2.75" customHeight="1" x14ac:dyDescent="0.2">
      <c r="A169" s="9">
        <v>15010</v>
      </c>
      <c r="B169" s="9" t="s">
        <v>73</v>
      </c>
      <c r="C169" s="9" t="s">
        <v>9</v>
      </c>
      <c r="D169" s="23"/>
      <c r="E169" s="42">
        <v>1</v>
      </c>
      <c r="F169" s="43"/>
      <c r="G169" s="42" t="s">
        <v>155</v>
      </c>
      <c r="H169" s="43"/>
      <c r="I169" s="25" t="s">
        <v>15</v>
      </c>
      <c r="J169" s="34">
        <f>IF(E169="","",raw_data!C161)</f>
        <v>0</v>
      </c>
      <c r="K169" s="46"/>
      <c r="L169" s="87"/>
      <c r="M169" s="19">
        <f>IF(E169="","",raw_data!F161)</f>
        <v>0</v>
      </c>
      <c r="N169" s="20" t="str">
        <f t="shared" si="10"/>
        <v>-</v>
      </c>
      <c r="O169" s="90"/>
      <c r="P169" s="91"/>
      <c r="Q169" s="91"/>
      <c r="R169" s="91"/>
      <c r="S169" s="41" t="str">
        <f t="shared" si="9"/>
        <v>erfüllt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2.75" customHeight="1" x14ac:dyDescent="0.2">
      <c r="A170" s="9">
        <v>15011</v>
      </c>
      <c r="B170" s="9" t="s">
        <v>73</v>
      </c>
      <c r="C170" s="9" t="s">
        <v>74</v>
      </c>
      <c r="D170" s="23"/>
      <c r="E170" s="42">
        <v>1</v>
      </c>
      <c r="F170" s="43"/>
      <c r="G170" s="42" t="s">
        <v>155</v>
      </c>
      <c r="H170" s="43"/>
      <c r="I170" s="25" t="s">
        <v>15</v>
      </c>
      <c r="J170" s="34">
        <f>IF(E170="","",raw_data!C162)</f>
        <v>0</v>
      </c>
      <c r="K170" s="46"/>
      <c r="L170" s="87"/>
      <c r="M170" s="19">
        <f>IF(E170="","",raw_data!F162)</f>
        <v>0</v>
      </c>
      <c r="N170" s="20" t="str">
        <f t="shared" si="10"/>
        <v>-</v>
      </c>
      <c r="O170" s="90"/>
      <c r="P170" s="91"/>
      <c r="Q170" s="91"/>
      <c r="R170" s="91"/>
      <c r="S170" s="41" t="str">
        <f t="shared" si="9"/>
        <v>erfüllt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2.75" customHeight="1" x14ac:dyDescent="0.2">
      <c r="A171" s="9">
        <v>15012</v>
      </c>
      <c r="B171" s="9" t="s">
        <v>73</v>
      </c>
      <c r="C171" s="9" t="s">
        <v>192</v>
      </c>
      <c r="D171" s="23"/>
      <c r="E171" s="42">
        <v>1</v>
      </c>
      <c r="F171" s="43"/>
      <c r="G171" s="42" t="s">
        <v>155</v>
      </c>
      <c r="H171" s="43"/>
      <c r="I171" s="25" t="s">
        <v>15</v>
      </c>
      <c r="J171" s="34">
        <f>IF(E171="","",raw_data!C163)</f>
        <v>0</v>
      </c>
      <c r="K171" s="46"/>
      <c r="L171" s="87"/>
      <c r="M171" s="19">
        <f>IF(E171="","",raw_data!F163)</f>
        <v>0</v>
      </c>
      <c r="N171" s="20" t="str">
        <f t="shared" si="10"/>
        <v>-</v>
      </c>
      <c r="O171" s="90"/>
      <c r="P171" s="91"/>
      <c r="Q171" s="91"/>
      <c r="R171" s="91"/>
      <c r="S171" s="41" t="str">
        <f t="shared" si="9"/>
        <v>erfüllt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2.75" customHeight="1" x14ac:dyDescent="0.2">
      <c r="A172" s="9">
        <v>15013</v>
      </c>
      <c r="B172" s="9" t="s">
        <v>73</v>
      </c>
      <c r="C172" s="9" t="s">
        <v>75</v>
      </c>
      <c r="D172" s="23"/>
      <c r="E172" s="42">
        <v>1</v>
      </c>
      <c r="F172" s="43"/>
      <c r="G172" s="42" t="s">
        <v>155</v>
      </c>
      <c r="H172" s="43"/>
      <c r="I172" s="25" t="s">
        <v>15</v>
      </c>
      <c r="J172" s="34">
        <f>IF(E172="","",raw_data!C164)</f>
        <v>0</v>
      </c>
      <c r="K172" s="46"/>
      <c r="L172" s="87"/>
      <c r="M172" s="19">
        <f>IF(E172="","",raw_data!F164)</f>
        <v>0</v>
      </c>
      <c r="N172" s="20" t="str">
        <f t="shared" si="10"/>
        <v>-</v>
      </c>
      <c r="O172" s="90"/>
      <c r="P172" s="91"/>
      <c r="Q172" s="91"/>
      <c r="R172" s="91"/>
      <c r="S172" s="41" t="str">
        <f t="shared" si="9"/>
        <v>erfüllt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2.75" customHeight="1" x14ac:dyDescent="0.2">
      <c r="A173" s="9">
        <v>15014</v>
      </c>
      <c r="B173" s="9" t="s">
        <v>73</v>
      </c>
      <c r="C173" s="9" t="s">
        <v>76</v>
      </c>
      <c r="D173" s="23"/>
      <c r="E173" s="42">
        <v>1</v>
      </c>
      <c r="F173" s="43"/>
      <c r="G173" s="42" t="s">
        <v>155</v>
      </c>
      <c r="H173" s="43"/>
      <c r="I173" s="25" t="s">
        <v>15</v>
      </c>
      <c r="J173" s="34">
        <f>IF(E173="","",raw_data!C165)</f>
        <v>0</v>
      </c>
      <c r="K173" s="46"/>
      <c r="L173" s="87"/>
      <c r="M173" s="19">
        <f>IF(E173="","",raw_data!F165)</f>
        <v>0</v>
      </c>
      <c r="N173" s="20" t="str">
        <f t="shared" si="10"/>
        <v>-</v>
      </c>
      <c r="O173" s="90"/>
      <c r="P173" s="91"/>
      <c r="Q173" s="91"/>
      <c r="R173" s="91"/>
      <c r="S173" s="41" t="str">
        <f t="shared" si="9"/>
        <v>erfüllt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2.75" customHeight="1" x14ac:dyDescent="0.2">
      <c r="A174" s="9">
        <v>16001</v>
      </c>
      <c r="B174" s="9" t="s">
        <v>126</v>
      </c>
      <c r="C174" s="9" t="s">
        <v>201</v>
      </c>
      <c r="D174" s="23"/>
      <c r="E174" s="42"/>
      <c r="F174" s="43"/>
      <c r="G174" s="42"/>
      <c r="H174" s="43"/>
      <c r="I174" s="25" t="s">
        <v>30</v>
      </c>
      <c r="J174" s="34" t="str">
        <f>IF(E174="","",raw_data!C166)</f>
        <v/>
      </c>
      <c r="K174" s="46"/>
      <c r="L174" s="87"/>
      <c r="M174" s="19" t="str">
        <f>IF(E174="","",raw_data!F166)</f>
        <v/>
      </c>
      <c r="N174" s="20" t="str">
        <f t="shared" si="10"/>
        <v/>
      </c>
      <c r="O174" s="90"/>
      <c r="P174" s="91"/>
      <c r="Q174" s="91"/>
      <c r="R174" s="91"/>
      <c r="S174" s="41" t="str">
        <f t="shared" si="9"/>
        <v/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2.75" customHeight="1" x14ac:dyDescent="0.2">
      <c r="A175" s="9">
        <v>16002</v>
      </c>
      <c r="B175" s="9" t="s">
        <v>126</v>
      </c>
      <c r="C175" s="9" t="s">
        <v>127</v>
      </c>
      <c r="D175" s="23"/>
      <c r="E175" s="42"/>
      <c r="F175" s="43"/>
      <c r="G175" s="42"/>
      <c r="H175" s="43"/>
      <c r="I175" s="25" t="s">
        <v>30</v>
      </c>
      <c r="J175" s="34" t="str">
        <f>IF(E175="","",raw_data!C167)</f>
        <v/>
      </c>
      <c r="K175" s="46"/>
      <c r="L175" s="87"/>
      <c r="M175" s="19" t="str">
        <f>IF(E175="","",raw_data!F167)</f>
        <v/>
      </c>
      <c r="N175" s="20" t="str">
        <f t="shared" si="10"/>
        <v/>
      </c>
      <c r="O175" s="90"/>
      <c r="P175" s="91"/>
      <c r="Q175" s="91"/>
      <c r="R175" s="91"/>
      <c r="S175" s="41" t="str">
        <f t="shared" si="9"/>
        <v/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2.75" customHeight="1" x14ac:dyDescent="0.2">
      <c r="A176" s="9">
        <v>16003</v>
      </c>
      <c r="B176" s="9" t="s">
        <v>126</v>
      </c>
      <c r="C176" s="9" t="s">
        <v>202</v>
      </c>
      <c r="D176" s="23"/>
      <c r="E176" s="42"/>
      <c r="F176" s="43"/>
      <c r="G176" s="42"/>
      <c r="H176" s="43"/>
      <c r="I176" s="25" t="s">
        <v>30</v>
      </c>
      <c r="J176" s="34" t="str">
        <f>IF(E176="","",raw_data!C168)</f>
        <v/>
      </c>
      <c r="K176" s="46"/>
      <c r="L176" s="87"/>
      <c r="M176" s="19" t="str">
        <f>IF(E176="","",raw_data!F168)</f>
        <v/>
      </c>
      <c r="N176" s="20" t="str">
        <f t="shared" si="10"/>
        <v/>
      </c>
      <c r="O176" s="90"/>
      <c r="P176" s="91"/>
      <c r="Q176" s="91"/>
      <c r="R176" s="91"/>
      <c r="S176" s="41" t="str">
        <f t="shared" si="9"/>
        <v/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2.75" customHeight="1" x14ac:dyDescent="0.2">
      <c r="A177" s="9">
        <v>16004</v>
      </c>
      <c r="B177" s="9" t="s">
        <v>126</v>
      </c>
      <c r="C177" s="9" t="s">
        <v>203</v>
      </c>
      <c r="D177" s="23"/>
      <c r="E177" s="42"/>
      <c r="F177" s="43"/>
      <c r="G177" s="42"/>
      <c r="H177" s="43"/>
      <c r="I177" s="25" t="s">
        <v>30</v>
      </c>
      <c r="J177" s="34" t="str">
        <f>IF(E177="","",raw_data!C169)</f>
        <v/>
      </c>
      <c r="K177" s="46"/>
      <c r="L177" s="87"/>
      <c r="M177" s="19" t="str">
        <f>IF(E177="","",raw_data!F169)</f>
        <v/>
      </c>
      <c r="N177" s="20" t="str">
        <f t="shared" si="10"/>
        <v/>
      </c>
      <c r="O177" s="90"/>
      <c r="P177" s="91"/>
      <c r="Q177" s="91"/>
      <c r="R177" s="91"/>
      <c r="S177" s="41" t="str">
        <f t="shared" si="9"/>
        <v/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2.75" customHeight="1" x14ac:dyDescent="0.2">
      <c r="A178" s="9">
        <v>16005</v>
      </c>
      <c r="B178" s="9" t="s">
        <v>126</v>
      </c>
      <c r="C178" s="9" t="s">
        <v>204</v>
      </c>
      <c r="D178" s="23"/>
      <c r="E178" s="42"/>
      <c r="F178" s="43"/>
      <c r="G178" s="42"/>
      <c r="H178" s="43"/>
      <c r="I178" s="25" t="s">
        <v>30</v>
      </c>
      <c r="J178" s="34" t="str">
        <f>IF(E178="","",raw_data!C170)</f>
        <v/>
      </c>
      <c r="K178" s="46"/>
      <c r="L178" s="87"/>
      <c r="M178" s="19" t="str">
        <f>IF(E178="","",raw_data!F170)</f>
        <v/>
      </c>
      <c r="N178" s="20" t="str">
        <f t="shared" si="10"/>
        <v/>
      </c>
      <c r="O178" s="90"/>
      <c r="P178" s="91"/>
      <c r="Q178" s="91"/>
      <c r="R178" s="91"/>
      <c r="S178" s="41" t="str">
        <f t="shared" si="9"/>
        <v/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2.75" customHeight="1" x14ac:dyDescent="0.2">
      <c r="A179" s="9">
        <v>16006</v>
      </c>
      <c r="B179" s="9" t="s">
        <v>126</v>
      </c>
      <c r="C179" s="9" t="s">
        <v>205</v>
      </c>
      <c r="D179" s="23"/>
      <c r="E179" s="42"/>
      <c r="F179" s="43"/>
      <c r="G179" s="42"/>
      <c r="H179" s="43"/>
      <c r="I179" s="25" t="s">
        <v>30</v>
      </c>
      <c r="J179" s="34" t="str">
        <f>IF(E179="","",raw_data!C171)</f>
        <v/>
      </c>
      <c r="K179" s="46"/>
      <c r="L179" s="87"/>
      <c r="M179" s="19" t="str">
        <f>IF(E179="","",raw_data!F171)</f>
        <v/>
      </c>
      <c r="N179" s="20" t="str">
        <f t="shared" si="10"/>
        <v/>
      </c>
      <c r="O179" s="90"/>
      <c r="P179" s="91"/>
      <c r="Q179" s="91"/>
      <c r="R179" s="91"/>
      <c r="S179" s="41" t="str">
        <f t="shared" si="9"/>
        <v/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2.75" customHeight="1" x14ac:dyDescent="0.2">
      <c r="A180" s="9">
        <v>16007</v>
      </c>
      <c r="B180" s="9" t="s">
        <v>126</v>
      </c>
      <c r="C180" s="9" t="s">
        <v>206</v>
      </c>
      <c r="D180" s="23"/>
      <c r="E180" s="42"/>
      <c r="F180" s="43"/>
      <c r="G180" s="42"/>
      <c r="H180" s="43"/>
      <c r="I180" s="25" t="s">
        <v>30</v>
      </c>
      <c r="J180" s="34" t="str">
        <f>IF(E180="","",raw_data!C172)</f>
        <v/>
      </c>
      <c r="K180" s="46"/>
      <c r="L180" s="87"/>
      <c r="M180" s="19" t="str">
        <f>IF(E180="","",raw_data!F172)</f>
        <v/>
      </c>
      <c r="N180" s="20" t="str">
        <f t="shared" si="10"/>
        <v/>
      </c>
      <c r="O180" s="90"/>
      <c r="P180" s="91"/>
      <c r="Q180" s="91"/>
      <c r="R180" s="91"/>
      <c r="S180" s="41" t="str">
        <f t="shared" si="9"/>
        <v/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2.75" customHeight="1" x14ac:dyDescent="0.2">
      <c r="A181" s="9">
        <v>16008</v>
      </c>
      <c r="B181" s="9" t="s">
        <v>126</v>
      </c>
      <c r="C181" s="9" t="s">
        <v>207</v>
      </c>
      <c r="D181" s="23"/>
      <c r="E181" s="42"/>
      <c r="F181" s="43"/>
      <c r="G181" s="42"/>
      <c r="H181" s="43"/>
      <c r="I181" s="25" t="s">
        <v>30</v>
      </c>
      <c r="J181" s="34" t="str">
        <f>IF(E181="","",raw_data!C173)</f>
        <v/>
      </c>
      <c r="K181" s="46"/>
      <c r="L181" s="87"/>
      <c r="M181" s="19" t="str">
        <f>IF(E181="","",raw_data!F173)</f>
        <v/>
      </c>
      <c r="N181" s="20" t="str">
        <f t="shared" si="10"/>
        <v/>
      </c>
      <c r="O181" s="90"/>
      <c r="P181" s="91"/>
      <c r="Q181" s="91"/>
      <c r="R181" s="91"/>
      <c r="S181" s="41" t="str">
        <f t="shared" si="9"/>
        <v/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2.75" customHeight="1" x14ac:dyDescent="0.2">
      <c r="A182" s="9">
        <v>16009</v>
      </c>
      <c r="B182" s="9" t="s">
        <v>126</v>
      </c>
      <c r="C182" s="9" t="s">
        <v>208</v>
      </c>
      <c r="D182" s="23"/>
      <c r="E182" s="42"/>
      <c r="F182" s="43"/>
      <c r="G182" s="42"/>
      <c r="H182" s="43"/>
      <c r="I182" s="25" t="s">
        <v>30</v>
      </c>
      <c r="J182" s="34" t="str">
        <f>IF(E182="","",raw_data!C174)</f>
        <v/>
      </c>
      <c r="K182" s="46"/>
      <c r="L182" s="87"/>
      <c r="M182" s="19" t="str">
        <f>IF(E182="","",raw_data!F174)</f>
        <v/>
      </c>
      <c r="N182" s="20" t="str">
        <f t="shared" si="10"/>
        <v/>
      </c>
      <c r="O182" s="90"/>
      <c r="P182" s="91"/>
      <c r="Q182" s="91"/>
      <c r="R182" s="91"/>
      <c r="S182" s="41" t="str">
        <f t="shared" si="9"/>
        <v/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2.75" customHeight="1" x14ac:dyDescent="0.2">
      <c r="A183" s="9">
        <v>16010</v>
      </c>
      <c r="B183" s="9" t="s">
        <v>126</v>
      </c>
      <c r="C183" s="9" t="s">
        <v>209</v>
      </c>
      <c r="D183" s="23"/>
      <c r="E183" s="42"/>
      <c r="F183" s="43"/>
      <c r="G183" s="42"/>
      <c r="H183" s="43"/>
      <c r="I183" s="25" t="s">
        <v>30</v>
      </c>
      <c r="J183" s="34" t="str">
        <f>IF(E183="","",raw_data!C175)</f>
        <v/>
      </c>
      <c r="K183" s="46"/>
      <c r="L183" s="87"/>
      <c r="M183" s="19" t="str">
        <f>IF(E183="","",raw_data!F175)</f>
        <v/>
      </c>
      <c r="N183" s="20" t="str">
        <f t="shared" si="10"/>
        <v/>
      </c>
      <c r="O183" s="90"/>
      <c r="P183" s="91"/>
      <c r="Q183" s="91"/>
      <c r="R183" s="91"/>
      <c r="S183" s="41" t="str">
        <f t="shared" si="9"/>
        <v/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2.75" customHeight="1" x14ac:dyDescent="0.2">
      <c r="A184" s="9">
        <v>16011</v>
      </c>
      <c r="B184" s="9" t="s">
        <v>126</v>
      </c>
      <c r="C184" s="9" t="s">
        <v>19</v>
      </c>
      <c r="D184" s="23"/>
      <c r="E184" s="42"/>
      <c r="F184" s="43"/>
      <c r="G184" s="42"/>
      <c r="H184" s="43"/>
      <c r="I184" s="25" t="s">
        <v>30</v>
      </c>
      <c r="J184" s="34" t="str">
        <f>IF(E184="","",raw_data!C176)</f>
        <v/>
      </c>
      <c r="K184" s="46"/>
      <c r="L184" s="87"/>
      <c r="M184" s="19" t="str">
        <f>IF(E184="","",raw_data!F176)</f>
        <v/>
      </c>
      <c r="N184" s="20" t="str">
        <f t="shared" si="10"/>
        <v/>
      </c>
      <c r="O184" s="90"/>
      <c r="P184" s="91"/>
      <c r="Q184" s="91"/>
      <c r="R184" s="91"/>
      <c r="S184" s="41" t="str">
        <f t="shared" si="9"/>
        <v/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2.75" customHeight="1" x14ac:dyDescent="0.2">
      <c r="A185" s="9">
        <v>16012</v>
      </c>
      <c r="B185" s="9" t="s">
        <v>126</v>
      </c>
      <c r="C185" s="9" t="s">
        <v>6</v>
      </c>
      <c r="D185" s="23"/>
      <c r="E185" s="42">
        <v>1</v>
      </c>
      <c r="F185" s="43"/>
      <c r="G185" s="42" t="s">
        <v>155</v>
      </c>
      <c r="H185" s="43"/>
      <c r="I185" s="25" t="s">
        <v>30</v>
      </c>
      <c r="J185" s="34">
        <f>IF(E185="","",raw_data!C177)</f>
        <v>0</v>
      </c>
      <c r="K185" s="46"/>
      <c r="L185" s="87"/>
      <c r="M185" s="19">
        <f>IF(E185="","",raw_data!F177)</f>
        <v>0</v>
      </c>
      <c r="N185" s="20" t="str">
        <f t="shared" si="10"/>
        <v>-</v>
      </c>
      <c r="O185" s="90"/>
      <c r="P185" s="91"/>
      <c r="Q185" s="91"/>
      <c r="R185" s="91"/>
      <c r="S185" s="41" t="str">
        <f t="shared" si="9"/>
        <v>erfüllt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2.75" customHeight="1" x14ac:dyDescent="0.2">
      <c r="A186" s="9">
        <v>16013</v>
      </c>
      <c r="B186" s="9" t="s">
        <v>126</v>
      </c>
      <c r="C186" s="9" t="s">
        <v>160</v>
      </c>
      <c r="D186" s="23"/>
      <c r="E186" s="42"/>
      <c r="F186" s="43"/>
      <c r="G186" s="42"/>
      <c r="H186" s="43"/>
      <c r="I186" s="25" t="s">
        <v>30</v>
      </c>
      <c r="J186" s="34" t="str">
        <f>IF(E186="","",raw_data!C178)</f>
        <v/>
      </c>
      <c r="K186" s="46"/>
      <c r="L186" s="87"/>
      <c r="M186" s="19" t="str">
        <f>IF(E186="","",raw_data!F178)</f>
        <v/>
      </c>
      <c r="N186" s="20" t="str">
        <f t="shared" si="10"/>
        <v/>
      </c>
      <c r="O186" s="90"/>
      <c r="P186" s="91"/>
      <c r="Q186" s="91"/>
      <c r="R186" s="91"/>
      <c r="S186" s="41" t="str">
        <f t="shared" si="9"/>
        <v/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2.75" customHeight="1" x14ac:dyDescent="0.2">
      <c r="A187" s="9">
        <v>16014</v>
      </c>
      <c r="B187" s="9" t="s">
        <v>126</v>
      </c>
      <c r="C187" s="9" t="s">
        <v>161</v>
      </c>
      <c r="D187" s="23"/>
      <c r="E187" s="42"/>
      <c r="F187" s="43"/>
      <c r="G187" s="42"/>
      <c r="H187" s="43"/>
      <c r="I187" s="25" t="s">
        <v>30</v>
      </c>
      <c r="J187" s="34" t="str">
        <f>IF(E187="","",raw_data!C179)</f>
        <v/>
      </c>
      <c r="K187" s="46"/>
      <c r="L187" s="87"/>
      <c r="M187" s="19" t="str">
        <f>IF(E187="","",raw_data!F179)</f>
        <v/>
      </c>
      <c r="N187" s="20" t="str">
        <f t="shared" si="10"/>
        <v/>
      </c>
      <c r="O187" s="90"/>
      <c r="P187" s="91"/>
      <c r="Q187" s="91"/>
      <c r="R187" s="91"/>
      <c r="S187" s="41" t="str">
        <f t="shared" si="9"/>
        <v/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2.75" customHeight="1" x14ac:dyDescent="0.2">
      <c r="A188" s="9" t="s">
        <v>426</v>
      </c>
      <c r="B188" s="9" t="s">
        <v>126</v>
      </c>
      <c r="C188" s="9" t="s">
        <v>210</v>
      </c>
      <c r="D188" s="23"/>
      <c r="E188" s="42">
        <v>1</v>
      </c>
      <c r="F188" s="43"/>
      <c r="G188" s="42" t="s">
        <v>387</v>
      </c>
      <c r="H188" s="43"/>
      <c r="I188" s="25" t="s">
        <v>30</v>
      </c>
      <c r="J188" s="34">
        <f>IF(E188="","",raw_data!C180)</f>
        <v>0</v>
      </c>
      <c r="K188" s="46"/>
      <c r="L188" s="87"/>
      <c r="M188" s="19">
        <f>IF(E188="","",raw_data!F180)</f>
        <v>0</v>
      </c>
      <c r="N188" s="20" t="str">
        <f t="shared" si="10"/>
        <v>-</v>
      </c>
      <c r="O188" s="90"/>
      <c r="P188" s="91"/>
      <c r="Q188" s="91"/>
      <c r="R188" s="91"/>
      <c r="S188" s="41" t="str">
        <f t="shared" si="9"/>
        <v>erfüllt</v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2.75" customHeight="1" x14ac:dyDescent="0.2">
      <c r="A189" s="9" t="s">
        <v>427</v>
      </c>
      <c r="B189" s="9" t="s">
        <v>126</v>
      </c>
      <c r="C189" s="9" t="s">
        <v>210</v>
      </c>
      <c r="D189" s="23" t="s">
        <v>377</v>
      </c>
      <c r="E189" s="42">
        <v>0.5</v>
      </c>
      <c r="F189" s="43"/>
      <c r="G189" s="42" t="s">
        <v>155</v>
      </c>
      <c r="H189" s="43"/>
      <c r="I189" s="25" t="s">
        <v>30</v>
      </c>
      <c r="J189" s="34">
        <f>IF(E189="","",raw_data!C181)</f>
        <v>0</v>
      </c>
      <c r="K189" s="46"/>
      <c r="L189" s="87"/>
      <c r="M189" s="19">
        <f>IF(E189="","",raw_data!F181)</f>
        <v>0</v>
      </c>
      <c r="N189" s="20" t="str">
        <f t="shared" si="10"/>
        <v>-</v>
      </c>
      <c r="O189" s="90"/>
      <c r="P189" s="91"/>
      <c r="Q189" s="91"/>
      <c r="R189" s="91"/>
      <c r="S189" s="41" t="str">
        <f t="shared" si="9"/>
        <v>erfüllt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2.75" customHeight="1" x14ac:dyDescent="0.2">
      <c r="A190" s="9">
        <v>16016</v>
      </c>
      <c r="B190" s="9" t="s">
        <v>126</v>
      </c>
      <c r="C190" s="9" t="s">
        <v>211</v>
      </c>
      <c r="D190" s="23"/>
      <c r="E190" s="42">
        <v>1</v>
      </c>
      <c r="F190" s="43"/>
      <c r="G190" s="42" t="s">
        <v>155</v>
      </c>
      <c r="H190" s="43"/>
      <c r="I190" s="25" t="s">
        <v>30</v>
      </c>
      <c r="J190" s="34">
        <f>IF(E190="","",raw_data!C182)</f>
        <v>0</v>
      </c>
      <c r="K190" s="46"/>
      <c r="L190" s="87"/>
      <c r="M190" s="19">
        <f>IF(E190="","",raw_data!F182)</f>
        <v>0</v>
      </c>
      <c r="N190" s="20" t="str">
        <f t="shared" si="10"/>
        <v>-</v>
      </c>
      <c r="O190" s="90"/>
      <c r="P190" s="91"/>
      <c r="Q190" s="91"/>
      <c r="R190" s="91"/>
      <c r="S190" s="41" t="str">
        <f t="shared" si="9"/>
        <v>erfüllt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2.75" customHeight="1" x14ac:dyDescent="0.2">
      <c r="A191" s="9">
        <v>16017</v>
      </c>
      <c r="B191" s="9" t="s">
        <v>126</v>
      </c>
      <c r="C191" s="9" t="s">
        <v>212</v>
      </c>
      <c r="D191" s="23"/>
      <c r="E191" s="42"/>
      <c r="F191" s="43"/>
      <c r="G191" s="42"/>
      <c r="H191" s="43"/>
      <c r="I191" s="25" t="s">
        <v>30</v>
      </c>
      <c r="J191" s="34" t="str">
        <f>IF(E191="","",raw_data!C183)</f>
        <v/>
      </c>
      <c r="K191" s="46"/>
      <c r="L191" s="87"/>
      <c r="M191" s="19" t="str">
        <f>IF(E191="","",raw_data!F183)</f>
        <v/>
      </c>
      <c r="N191" s="20" t="str">
        <f t="shared" si="10"/>
        <v/>
      </c>
      <c r="O191" s="90"/>
      <c r="P191" s="91"/>
      <c r="Q191" s="91"/>
      <c r="R191" s="91"/>
      <c r="S191" s="41" t="str">
        <f t="shared" si="9"/>
        <v/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2.75" customHeight="1" x14ac:dyDescent="0.2">
      <c r="A192" s="9">
        <v>16018</v>
      </c>
      <c r="B192" s="9" t="s">
        <v>126</v>
      </c>
      <c r="C192" s="9" t="s">
        <v>128</v>
      </c>
      <c r="D192" s="23"/>
      <c r="E192" s="42"/>
      <c r="F192" s="43"/>
      <c r="G192" s="42"/>
      <c r="H192" s="43"/>
      <c r="I192" s="25" t="s">
        <v>30</v>
      </c>
      <c r="J192" s="34" t="str">
        <f>IF(E192="","",raw_data!C184)</f>
        <v/>
      </c>
      <c r="K192" s="46"/>
      <c r="L192" s="87"/>
      <c r="M192" s="19" t="str">
        <f>IF(E192="","",raw_data!F184)</f>
        <v/>
      </c>
      <c r="N192" s="20" t="str">
        <f t="shared" si="10"/>
        <v/>
      </c>
      <c r="O192" s="90"/>
      <c r="P192" s="91"/>
      <c r="Q192" s="91"/>
      <c r="R192" s="91"/>
      <c r="S192" s="41" t="str">
        <f t="shared" si="9"/>
        <v/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2.75" customHeight="1" x14ac:dyDescent="0.2">
      <c r="A193" s="9" t="s">
        <v>429</v>
      </c>
      <c r="B193" s="9" t="s">
        <v>126</v>
      </c>
      <c r="C193" s="9" t="s">
        <v>213</v>
      </c>
      <c r="D193" s="23"/>
      <c r="E193" s="42">
        <v>1</v>
      </c>
      <c r="F193" s="43"/>
      <c r="G193" s="42" t="s">
        <v>387</v>
      </c>
      <c r="H193" s="43"/>
      <c r="I193" s="25" t="s">
        <v>30</v>
      </c>
      <c r="J193" s="34">
        <f>IF(E193="","",raw_data!C185)</f>
        <v>0</v>
      </c>
      <c r="K193" s="46"/>
      <c r="L193" s="87"/>
      <c r="M193" s="19">
        <f>IF(E193="","",raw_data!F185)</f>
        <v>0</v>
      </c>
      <c r="N193" s="20" t="str">
        <f t="shared" si="10"/>
        <v>-</v>
      </c>
      <c r="O193" s="90"/>
      <c r="P193" s="91"/>
      <c r="Q193" s="91"/>
      <c r="R193" s="91"/>
      <c r="S193" s="41" t="str">
        <f t="shared" si="9"/>
        <v>erfüllt</v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2.75" customHeight="1" x14ac:dyDescent="0.2">
      <c r="A194" s="9" t="s">
        <v>428</v>
      </c>
      <c r="B194" s="9" t="s">
        <v>126</v>
      </c>
      <c r="C194" s="9" t="s">
        <v>213</v>
      </c>
      <c r="D194" s="23" t="s">
        <v>377</v>
      </c>
      <c r="E194" s="42">
        <v>0.5</v>
      </c>
      <c r="F194" s="43"/>
      <c r="G194" s="42" t="s">
        <v>155</v>
      </c>
      <c r="H194" s="43"/>
      <c r="I194" s="25" t="s">
        <v>30</v>
      </c>
      <c r="J194" s="34">
        <f>IF(E194="","",raw_data!C186)</f>
        <v>0</v>
      </c>
      <c r="K194" s="46"/>
      <c r="L194" s="87"/>
      <c r="M194" s="19">
        <f>IF(E194="","",raw_data!F186)</f>
        <v>0</v>
      </c>
      <c r="N194" s="20" t="str">
        <f t="shared" si="10"/>
        <v>-</v>
      </c>
      <c r="O194" s="90"/>
      <c r="P194" s="91"/>
      <c r="Q194" s="91"/>
      <c r="R194" s="91"/>
      <c r="S194" s="41" t="str">
        <f t="shared" si="9"/>
        <v>erfüllt</v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2.75" customHeight="1" x14ac:dyDescent="0.2">
      <c r="A195" s="9">
        <v>16020</v>
      </c>
      <c r="B195" s="9" t="s">
        <v>126</v>
      </c>
      <c r="C195" s="9" t="s">
        <v>129</v>
      </c>
      <c r="D195" s="23"/>
      <c r="E195" s="42">
        <v>1</v>
      </c>
      <c r="F195" s="43"/>
      <c r="G195" s="42" t="s">
        <v>155</v>
      </c>
      <c r="H195" s="43"/>
      <c r="I195" s="25" t="s">
        <v>30</v>
      </c>
      <c r="J195" s="34">
        <f>IF(E195="","",raw_data!C187)</f>
        <v>0</v>
      </c>
      <c r="K195" s="46"/>
      <c r="L195" s="87"/>
      <c r="M195" s="19">
        <f>IF(E195="","",raw_data!F187)</f>
        <v>0</v>
      </c>
      <c r="N195" s="20" t="str">
        <f t="shared" si="10"/>
        <v>-</v>
      </c>
      <c r="O195" s="90"/>
      <c r="P195" s="91"/>
      <c r="Q195" s="91"/>
      <c r="R195" s="91"/>
      <c r="S195" s="41" t="str">
        <f t="shared" si="9"/>
        <v>erfüllt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2.75" customHeight="1" x14ac:dyDescent="0.2">
      <c r="A196" s="9">
        <v>16021</v>
      </c>
      <c r="B196" s="9" t="s">
        <v>126</v>
      </c>
      <c r="C196" s="9" t="s">
        <v>130</v>
      </c>
      <c r="D196" s="23"/>
      <c r="E196" s="42">
        <v>1</v>
      </c>
      <c r="F196" s="43"/>
      <c r="G196" s="42" t="s">
        <v>155</v>
      </c>
      <c r="H196" s="43"/>
      <c r="I196" s="25" t="s">
        <v>30</v>
      </c>
      <c r="J196" s="34">
        <f>IF(E196="","",raw_data!C188)</f>
        <v>0</v>
      </c>
      <c r="K196" s="46"/>
      <c r="L196" s="87"/>
      <c r="M196" s="19">
        <f>IF(E196="","",raw_data!F188)</f>
        <v>0</v>
      </c>
      <c r="N196" s="20" t="str">
        <f t="shared" si="10"/>
        <v>-</v>
      </c>
      <c r="O196" s="90"/>
      <c r="P196" s="91"/>
      <c r="Q196" s="91"/>
      <c r="R196" s="91"/>
      <c r="S196" s="41" t="str">
        <f t="shared" si="9"/>
        <v>erfüllt</v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2.75" customHeight="1" x14ac:dyDescent="0.2">
      <c r="A197" s="9">
        <v>16022</v>
      </c>
      <c r="B197" s="9" t="s">
        <v>126</v>
      </c>
      <c r="C197" s="9" t="s">
        <v>214</v>
      </c>
      <c r="D197" s="23"/>
      <c r="E197" s="42"/>
      <c r="F197" s="43"/>
      <c r="G197" s="42"/>
      <c r="H197" s="43"/>
      <c r="I197" s="25" t="s">
        <v>100</v>
      </c>
      <c r="J197" s="34" t="str">
        <f>IF(E197="","",raw_data!C189)</f>
        <v/>
      </c>
      <c r="K197" s="46"/>
      <c r="L197" s="87"/>
      <c r="M197" s="19" t="str">
        <f>IF(E197="","",raw_data!F189)</f>
        <v/>
      </c>
      <c r="N197" s="20" t="str">
        <f t="shared" si="10"/>
        <v/>
      </c>
      <c r="O197" s="90"/>
      <c r="P197" s="91"/>
      <c r="Q197" s="91"/>
      <c r="R197" s="91"/>
      <c r="S197" s="41" t="str">
        <f t="shared" si="9"/>
        <v/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2.75" customHeight="1" x14ac:dyDescent="0.2">
      <c r="A198" s="9">
        <v>16023</v>
      </c>
      <c r="B198" s="9" t="s">
        <v>126</v>
      </c>
      <c r="C198" s="9" t="s">
        <v>101</v>
      </c>
      <c r="D198" s="23"/>
      <c r="E198" s="42"/>
      <c r="F198" s="43"/>
      <c r="G198" s="42"/>
      <c r="H198" s="43"/>
      <c r="I198" s="25" t="s">
        <v>100</v>
      </c>
      <c r="J198" s="34" t="str">
        <f>IF(E198="","",raw_data!C190)</f>
        <v/>
      </c>
      <c r="K198" s="46"/>
      <c r="L198" s="87"/>
      <c r="M198" s="19" t="str">
        <f>IF(E198="","",raw_data!F190)</f>
        <v/>
      </c>
      <c r="N198" s="20" t="str">
        <f t="shared" si="10"/>
        <v/>
      </c>
      <c r="O198" s="90"/>
      <c r="P198" s="91"/>
      <c r="Q198" s="91"/>
      <c r="R198" s="91"/>
      <c r="S198" s="41" t="str">
        <f t="shared" si="9"/>
        <v/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2.75" customHeight="1" x14ac:dyDescent="0.2">
      <c r="A199" s="9">
        <v>16024</v>
      </c>
      <c r="B199" s="9" t="s">
        <v>126</v>
      </c>
      <c r="C199" s="9" t="s">
        <v>215</v>
      </c>
      <c r="D199" s="23"/>
      <c r="E199" s="42"/>
      <c r="F199" s="43"/>
      <c r="G199" s="42"/>
      <c r="H199" s="43"/>
      <c r="I199" s="25" t="s">
        <v>30</v>
      </c>
      <c r="J199" s="34" t="str">
        <f>IF(E199="","",raw_data!C191)</f>
        <v/>
      </c>
      <c r="K199" s="46"/>
      <c r="L199" s="87"/>
      <c r="M199" s="19" t="str">
        <f>IF(E199="","",raw_data!F191)</f>
        <v/>
      </c>
      <c r="N199" s="20" t="str">
        <f t="shared" si="10"/>
        <v/>
      </c>
      <c r="O199" s="90"/>
      <c r="P199" s="91"/>
      <c r="Q199" s="91"/>
      <c r="R199" s="91"/>
      <c r="S199" s="41" t="str">
        <f t="shared" si="9"/>
        <v/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2.75" customHeight="1" x14ac:dyDescent="0.2">
      <c r="A200" s="9">
        <v>16025</v>
      </c>
      <c r="B200" s="9" t="s">
        <v>126</v>
      </c>
      <c r="C200" s="9" t="s">
        <v>216</v>
      </c>
      <c r="D200" s="23"/>
      <c r="E200" s="42"/>
      <c r="F200" s="43"/>
      <c r="G200" s="42"/>
      <c r="H200" s="43"/>
      <c r="I200" s="25" t="s">
        <v>30</v>
      </c>
      <c r="J200" s="34" t="str">
        <f>IF(E200="","",raw_data!C192)</f>
        <v/>
      </c>
      <c r="K200" s="46"/>
      <c r="L200" s="87"/>
      <c r="M200" s="19" t="str">
        <f>IF(E200="","",raw_data!F192)</f>
        <v/>
      </c>
      <c r="N200" s="20" t="str">
        <f t="shared" si="10"/>
        <v/>
      </c>
      <c r="O200" s="90"/>
      <c r="P200" s="91"/>
      <c r="Q200" s="91"/>
      <c r="R200" s="91"/>
      <c r="S200" s="41" t="str">
        <f t="shared" si="9"/>
        <v/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2.75" customHeight="1" x14ac:dyDescent="0.2">
      <c r="A201" s="9">
        <v>16026</v>
      </c>
      <c r="B201" s="9" t="s">
        <v>126</v>
      </c>
      <c r="C201" s="9" t="s">
        <v>217</v>
      </c>
      <c r="D201" s="23"/>
      <c r="E201" s="42"/>
      <c r="F201" s="43"/>
      <c r="G201" s="42"/>
      <c r="H201" s="43"/>
      <c r="I201" s="25" t="s">
        <v>30</v>
      </c>
      <c r="J201" s="34" t="str">
        <f>IF(E201="","",raw_data!C193)</f>
        <v/>
      </c>
      <c r="K201" s="46"/>
      <c r="L201" s="87"/>
      <c r="M201" s="19" t="str">
        <f>IF(E201="","",raw_data!F193)</f>
        <v/>
      </c>
      <c r="N201" s="20" t="str">
        <f t="shared" si="10"/>
        <v/>
      </c>
      <c r="O201" s="90"/>
      <c r="P201" s="91"/>
      <c r="Q201" s="91"/>
      <c r="R201" s="91"/>
      <c r="S201" s="41" t="str">
        <f t="shared" si="9"/>
        <v/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2.75" customHeight="1" x14ac:dyDescent="0.2">
      <c r="A202" s="9">
        <v>16027</v>
      </c>
      <c r="B202" s="9" t="s">
        <v>126</v>
      </c>
      <c r="C202" s="9" t="s">
        <v>218</v>
      </c>
      <c r="D202" s="23"/>
      <c r="E202" s="42"/>
      <c r="F202" s="43"/>
      <c r="G202" s="42"/>
      <c r="H202" s="43"/>
      <c r="I202" s="25" t="s">
        <v>30</v>
      </c>
      <c r="J202" s="34" t="str">
        <f>IF(E202="","",raw_data!C194)</f>
        <v/>
      </c>
      <c r="K202" s="46"/>
      <c r="L202" s="87"/>
      <c r="M202" s="19" t="str">
        <f>IF(E202="","",raw_data!F194)</f>
        <v/>
      </c>
      <c r="N202" s="20" t="str">
        <f t="shared" si="10"/>
        <v/>
      </c>
      <c r="O202" s="90"/>
      <c r="P202" s="91"/>
      <c r="Q202" s="91"/>
      <c r="R202" s="91"/>
      <c r="S202" s="41" t="str">
        <f t="shared" ref="S202:S265" si="11">IF(E202="","",IF(OR(NOT(ISNUMBER(N202)),N202&lt;=(1-E202)),"erfüllt",IF(G202="Fehler","mit Fehler",IF(G202="Warnung","mit Warnung",""))))</f>
        <v/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2.75" customHeight="1" x14ac:dyDescent="0.2">
      <c r="A203" s="9">
        <v>16028</v>
      </c>
      <c r="B203" s="9" t="s">
        <v>126</v>
      </c>
      <c r="C203" s="9" t="s">
        <v>162</v>
      </c>
      <c r="D203" s="23"/>
      <c r="E203" s="42"/>
      <c r="F203" s="43"/>
      <c r="G203" s="42"/>
      <c r="H203" s="43"/>
      <c r="I203" s="25" t="s">
        <v>30</v>
      </c>
      <c r="J203" s="34" t="str">
        <f>IF(E203="","",raw_data!C195)</f>
        <v/>
      </c>
      <c r="K203" s="46"/>
      <c r="L203" s="87"/>
      <c r="M203" s="19" t="str">
        <f>IF(E203="","",raw_data!F195)</f>
        <v/>
      </c>
      <c r="N203" s="20" t="str">
        <f t="shared" ref="N203:N266" si="12">IF(E203="","",IFERROR(M203/J203,"-"))</f>
        <v/>
      </c>
      <c r="O203" s="90"/>
      <c r="P203" s="91"/>
      <c r="Q203" s="91"/>
      <c r="R203" s="91"/>
      <c r="S203" s="41" t="str">
        <f t="shared" si="11"/>
        <v/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2.75" customHeight="1" x14ac:dyDescent="0.2">
      <c r="A204" s="9">
        <v>16029</v>
      </c>
      <c r="B204" s="9" t="s">
        <v>126</v>
      </c>
      <c r="C204" s="9" t="s">
        <v>9</v>
      </c>
      <c r="D204" s="23"/>
      <c r="E204" s="42">
        <v>1</v>
      </c>
      <c r="F204" s="43"/>
      <c r="G204" s="42" t="s">
        <v>155</v>
      </c>
      <c r="H204" s="43"/>
      <c r="I204" s="25" t="s">
        <v>30</v>
      </c>
      <c r="J204" s="34">
        <f>IF(E204="","",raw_data!C196)</f>
        <v>0</v>
      </c>
      <c r="K204" s="46"/>
      <c r="L204" s="87"/>
      <c r="M204" s="19">
        <f>IF(E204="","",raw_data!F196)</f>
        <v>0</v>
      </c>
      <c r="N204" s="20" t="str">
        <f t="shared" si="12"/>
        <v>-</v>
      </c>
      <c r="O204" s="90"/>
      <c r="P204" s="91"/>
      <c r="Q204" s="91"/>
      <c r="R204" s="91"/>
      <c r="S204" s="41" t="str">
        <f t="shared" si="11"/>
        <v>erfüllt</v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2.75" customHeight="1" x14ac:dyDescent="0.2">
      <c r="A205" s="9">
        <v>16030</v>
      </c>
      <c r="B205" s="9" t="s">
        <v>126</v>
      </c>
      <c r="C205" s="9" t="s">
        <v>65</v>
      </c>
      <c r="D205" s="23"/>
      <c r="E205" s="42">
        <v>1</v>
      </c>
      <c r="F205" s="43"/>
      <c r="G205" s="42" t="s">
        <v>155</v>
      </c>
      <c r="H205" s="43"/>
      <c r="I205" s="25" t="s">
        <v>30</v>
      </c>
      <c r="J205" s="34">
        <f>IF(E205="","",raw_data!C197)</f>
        <v>0</v>
      </c>
      <c r="K205" s="46"/>
      <c r="L205" s="87"/>
      <c r="M205" s="19">
        <f>IF(E205="","",raw_data!F197)</f>
        <v>0</v>
      </c>
      <c r="N205" s="20" t="str">
        <f t="shared" si="12"/>
        <v>-</v>
      </c>
      <c r="O205" s="90"/>
      <c r="P205" s="91"/>
      <c r="Q205" s="91"/>
      <c r="R205" s="91"/>
      <c r="S205" s="41" t="str">
        <f t="shared" si="11"/>
        <v>erfüllt</v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2.75" customHeight="1" x14ac:dyDescent="0.2">
      <c r="A206" s="9" t="s">
        <v>430</v>
      </c>
      <c r="B206" s="9" t="s">
        <v>126</v>
      </c>
      <c r="C206" s="9" t="s">
        <v>219</v>
      </c>
      <c r="D206" s="23"/>
      <c r="E206" s="42">
        <v>1</v>
      </c>
      <c r="F206" s="43"/>
      <c r="G206" s="42" t="s">
        <v>387</v>
      </c>
      <c r="H206" s="43"/>
      <c r="I206" s="25" t="s">
        <v>30</v>
      </c>
      <c r="J206" s="34">
        <f>IF(E206="","",raw_data!C198)</f>
        <v>0</v>
      </c>
      <c r="K206" s="46"/>
      <c r="L206" s="87"/>
      <c r="M206" s="19">
        <f>IF(E206="","",raw_data!F198)</f>
        <v>0</v>
      </c>
      <c r="N206" s="20" t="str">
        <f t="shared" si="12"/>
        <v>-</v>
      </c>
      <c r="O206" s="90"/>
      <c r="P206" s="91"/>
      <c r="Q206" s="91"/>
      <c r="R206" s="91"/>
      <c r="S206" s="41" t="str">
        <f t="shared" si="11"/>
        <v>erfüllt</v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2.75" customHeight="1" x14ac:dyDescent="0.2">
      <c r="A207" s="9" t="s">
        <v>431</v>
      </c>
      <c r="B207" s="9" t="s">
        <v>126</v>
      </c>
      <c r="C207" s="9" t="s">
        <v>219</v>
      </c>
      <c r="D207" s="23" t="s">
        <v>377</v>
      </c>
      <c r="E207" s="42">
        <v>0.5</v>
      </c>
      <c r="F207" s="43"/>
      <c r="G207" s="42" t="s">
        <v>155</v>
      </c>
      <c r="H207" s="43"/>
      <c r="I207" s="25" t="s">
        <v>30</v>
      </c>
      <c r="J207" s="34">
        <f>IF(E207="","",raw_data!C199)</f>
        <v>0</v>
      </c>
      <c r="K207" s="46"/>
      <c r="L207" s="87"/>
      <c r="M207" s="19">
        <f>IF(E207="","",raw_data!F199)</f>
        <v>0</v>
      </c>
      <c r="N207" s="20" t="str">
        <f t="shared" si="12"/>
        <v>-</v>
      </c>
      <c r="O207" s="90"/>
      <c r="P207" s="91"/>
      <c r="Q207" s="91"/>
      <c r="R207" s="91"/>
      <c r="S207" s="41" t="str">
        <f t="shared" si="11"/>
        <v>erfüllt</v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2.75" customHeight="1" x14ac:dyDescent="0.2">
      <c r="A208" s="9">
        <v>16032</v>
      </c>
      <c r="B208" s="9" t="s">
        <v>126</v>
      </c>
      <c r="C208" s="9" t="s">
        <v>131</v>
      </c>
      <c r="D208" s="23"/>
      <c r="E208" s="42">
        <v>1</v>
      </c>
      <c r="F208" s="43"/>
      <c r="G208" s="42" t="s">
        <v>155</v>
      </c>
      <c r="H208" s="43"/>
      <c r="I208" s="25" t="s">
        <v>30</v>
      </c>
      <c r="J208" s="34">
        <f>IF(E208="","",raw_data!C200)</f>
        <v>0</v>
      </c>
      <c r="K208" s="46"/>
      <c r="L208" s="87"/>
      <c r="M208" s="19">
        <f>IF(E208="","",raw_data!F200)</f>
        <v>0</v>
      </c>
      <c r="N208" s="20" t="str">
        <f t="shared" si="12"/>
        <v>-</v>
      </c>
      <c r="O208" s="90"/>
      <c r="P208" s="91"/>
      <c r="Q208" s="91"/>
      <c r="R208" s="91"/>
      <c r="S208" s="41" t="str">
        <f t="shared" si="11"/>
        <v>erfüllt</v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2.75" customHeight="1" x14ac:dyDescent="0.2">
      <c r="A209" s="9">
        <v>16033</v>
      </c>
      <c r="B209" s="9" t="s">
        <v>126</v>
      </c>
      <c r="C209" s="9" t="s">
        <v>301</v>
      </c>
      <c r="D209" s="23"/>
      <c r="E209" s="42"/>
      <c r="F209" s="43"/>
      <c r="G209" s="42"/>
      <c r="H209" s="43"/>
      <c r="I209" s="25" t="s">
        <v>30</v>
      </c>
      <c r="J209" s="34" t="str">
        <f>IF(E209="","",raw_data!C201)</f>
        <v/>
      </c>
      <c r="K209" s="46"/>
      <c r="L209" s="87"/>
      <c r="M209" s="19" t="str">
        <f>IF(E209="","",raw_data!F201)</f>
        <v/>
      </c>
      <c r="N209" s="20" t="str">
        <f t="shared" si="12"/>
        <v/>
      </c>
      <c r="O209" s="90"/>
      <c r="P209" s="91"/>
      <c r="Q209" s="91"/>
      <c r="R209" s="91"/>
      <c r="S209" s="41" t="str">
        <f t="shared" si="11"/>
        <v/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2.75" customHeight="1" x14ac:dyDescent="0.2">
      <c r="A210" s="9">
        <v>16034</v>
      </c>
      <c r="B210" s="9" t="s">
        <v>126</v>
      </c>
      <c r="C210" s="9" t="s">
        <v>302</v>
      </c>
      <c r="D210" s="23"/>
      <c r="E210" s="42"/>
      <c r="F210" s="43"/>
      <c r="G210" s="42"/>
      <c r="H210" s="43"/>
      <c r="I210" s="25" t="s">
        <v>30</v>
      </c>
      <c r="J210" s="34" t="str">
        <f>IF(E210="","",raw_data!C202)</f>
        <v/>
      </c>
      <c r="K210" s="46"/>
      <c r="L210" s="87"/>
      <c r="M210" s="19" t="str">
        <f>IF(E210="","",raw_data!F202)</f>
        <v/>
      </c>
      <c r="N210" s="20" t="str">
        <f t="shared" si="12"/>
        <v/>
      </c>
      <c r="O210" s="90"/>
      <c r="P210" s="91"/>
      <c r="Q210" s="91"/>
      <c r="R210" s="91"/>
      <c r="S210" s="41" t="str">
        <f t="shared" si="11"/>
        <v/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2.75" customHeight="1" x14ac:dyDescent="0.2">
      <c r="A211" s="9">
        <v>16035</v>
      </c>
      <c r="B211" s="9" t="s">
        <v>126</v>
      </c>
      <c r="C211" s="9" t="s">
        <v>303</v>
      </c>
      <c r="D211" s="23"/>
      <c r="E211" s="42"/>
      <c r="F211" s="43"/>
      <c r="G211" s="42"/>
      <c r="H211" s="43"/>
      <c r="I211" s="25" t="s">
        <v>30</v>
      </c>
      <c r="J211" s="34" t="str">
        <f>IF(E211="","",raw_data!C203)</f>
        <v/>
      </c>
      <c r="K211" s="46"/>
      <c r="L211" s="87"/>
      <c r="M211" s="19" t="str">
        <f>IF(E211="","",raw_data!F203)</f>
        <v/>
      </c>
      <c r="N211" s="20" t="str">
        <f t="shared" si="12"/>
        <v/>
      </c>
      <c r="O211" s="90"/>
      <c r="P211" s="91"/>
      <c r="Q211" s="91"/>
      <c r="R211" s="91"/>
      <c r="S211" s="41" t="str">
        <f t="shared" si="11"/>
        <v/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2.75" customHeight="1" x14ac:dyDescent="0.2">
      <c r="A212" s="9">
        <v>16036</v>
      </c>
      <c r="B212" s="9" t="s">
        <v>126</v>
      </c>
      <c r="C212" s="9" t="s">
        <v>304</v>
      </c>
      <c r="D212" s="23"/>
      <c r="E212" s="42"/>
      <c r="F212" s="43"/>
      <c r="G212" s="42"/>
      <c r="H212" s="43"/>
      <c r="I212" s="25" t="s">
        <v>30</v>
      </c>
      <c r="J212" s="34" t="str">
        <f>IF(E212="","",raw_data!C204)</f>
        <v/>
      </c>
      <c r="K212" s="46"/>
      <c r="L212" s="87"/>
      <c r="M212" s="19" t="str">
        <f>IF(E212="","",raw_data!F204)</f>
        <v/>
      </c>
      <c r="N212" s="20" t="str">
        <f t="shared" si="12"/>
        <v/>
      </c>
      <c r="O212" s="90"/>
      <c r="P212" s="91"/>
      <c r="Q212" s="91"/>
      <c r="R212" s="91"/>
      <c r="S212" s="41" t="str">
        <f t="shared" si="11"/>
        <v/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2.75" customHeight="1" x14ac:dyDescent="0.2">
      <c r="A213" s="9">
        <v>16037</v>
      </c>
      <c r="B213" s="9" t="s">
        <v>126</v>
      </c>
      <c r="C213" s="9" t="s">
        <v>305</v>
      </c>
      <c r="D213" s="23"/>
      <c r="E213" s="42"/>
      <c r="F213" s="43"/>
      <c r="G213" s="42"/>
      <c r="H213" s="43"/>
      <c r="I213" s="25" t="s">
        <v>30</v>
      </c>
      <c r="J213" s="34" t="str">
        <f>IF(E213="","",raw_data!C205)</f>
        <v/>
      </c>
      <c r="K213" s="46"/>
      <c r="L213" s="87"/>
      <c r="M213" s="19" t="str">
        <f>IF(E213="","",raw_data!F205)</f>
        <v/>
      </c>
      <c r="N213" s="20" t="str">
        <f t="shared" si="12"/>
        <v/>
      </c>
      <c r="O213" s="90"/>
      <c r="P213" s="91"/>
      <c r="Q213" s="91"/>
      <c r="R213" s="91"/>
      <c r="S213" s="41" t="str">
        <f t="shared" si="11"/>
        <v/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2.75" customHeight="1" x14ac:dyDescent="0.2">
      <c r="A214" s="9">
        <v>16038</v>
      </c>
      <c r="B214" s="9" t="s">
        <v>126</v>
      </c>
      <c r="C214" s="9" t="s">
        <v>306</v>
      </c>
      <c r="D214" s="23"/>
      <c r="E214" s="42"/>
      <c r="F214" s="43"/>
      <c r="G214" s="42"/>
      <c r="H214" s="43"/>
      <c r="I214" s="25" t="s">
        <v>30</v>
      </c>
      <c r="J214" s="34" t="str">
        <f>IF(E214="","",raw_data!C206)</f>
        <v/>
      </c>
      <c r="K214" s="46"/>
      <c r="L214" s="87"/>
      <c r="M214" s="19" t="str">
        <f>IF(E214="","",raw_data!F206)</f>
        <v/>
      </c>
      <c r="N214" s="20" t="str">
        <f t="shared" si="12"/>
        <v/>
      </c>
      <c r="O214" s="90"/>
      <c r="P214" s="91"/>
      <c r="Q214" s="91"/>
      <c r="R214" s="91"/>
      <c r="S214" s="41" t="str">
        <f t="shared" si="11"/>
        <v/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2.75" customHeight="1" x14ac:dyDescent="0.2">
      <c r="A215" s="9">
        <v>16039</v>
      </c>
      <c r="B215" s="9" t="s">
        <v>126</v>
      </c>
      <c r="C215" s="9" t="s">
        <v>307</v>
      </c>
      <c r="D215" s="23"/>
      <c r="E215" s="42"/>
      <c r="F215" s="43"/>
      <c r="G215" s="42"/>
      <c r="H215" s="43"/>
      <c r="I215" s="25" t="s">
        <v>30</v>
      </c>
      <c r="J215" s="34" t="str">
        <f>IF(E215="","",raw_data!C207)</f>
        <v/>
      </c>
      <c r="K215" s="46"/>
      <c r="L215" s="87"/>
      <c r="M215" s="19" t="str">
        <f>IF(E215="","",raw_data!F207)</f>
        <v/>
      </c>
      <c r="N215" s="20" t="str">
        <f t="shared" si="12"/>
        <v/>
      </c>
      <c r="O215" s="90"/>
      <c r="P215" s="91"/>
      <c r="Q215" s="91"/>
      <c r="R215" s="91"/>
      <c r="S215" s="41" t="str">
        <f t="shared" si="11"/>
        <v/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2.75" customHeight="1" x14ac:dyDescent="0.2">
      <c r="A216" s="9">
        <v>16040</v>
      </c>
      <c r="B216" s="9" t="s">
        <v>126</v>
      </c>
      <c r="C216" s="9" t="s">
        <v>308</v>
      </c>
      <c r="D216" s="23"/>
      <c r="E216" s="42"/>
      <c r="F216" s="43"/>
      <c r="G216" s="42"/>
      <c r="H216" s="43"/>
      <c r="I216" s="25" t="s">
        <v>30</v>
      </c>
      <c r="J216" s="34" t="str">
        <f>IF(E216="","",raw_data!C208)</f>
        <v/>
      </c>
      <c r="K216" s="46"/>
      <c r="L216" s="87"/>
      <c r="M216" s="19" t="str">
        <f>IF(E216="","",raw_data!F208)</f>
        <v/>
      </c>
      <c r="N216" s="20" t="str">
        <f t="shared" si="12"/>
        <v/>
      </c>
      <c r="O216" s="90"/>
      <c r="P216" s="91"/>
      <c r="Q216" s="91"/>
      <c r="R216" s="91"/>
      <c r="S216" s="41" t="str">
        <f t="shared" si="11"/>
        <v/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2.75" customHeight="1" x14ac:dyDescent="0.2">
      <c r="A217" s="9">
        <v>16041</v>
      </c>
      <c r="B217" s="9" t="s">
        <v>126</v>
      </c>
      <c r="C217" s="9" t="s">
        <v>309</v>
      </c>
      <c r="D217" s="23"/>
      <c r="E217" s="42"/>
      <c r="F217" s="43"/>
      <c r="G217" s="42"/>
      <c r="H217" s="43"/>
      <c r="I217" s="25" t="s">
        <v>30</v>
      </c>
      <c r="J217" s="34" t="str">
        <f>IF(E217="","",raw_data!C209)</f>
        <v/>
      </c>
      <c r="K217" s="46"/>
      <c r="L217" s="87"/>
      <c r="M217" s="19" t="str">
        <f>IF(E217="","",raw_data!F209)</f>
        <v/>
      </c>
      <c r="N217" s="20" t="str">
        <f t="shared" si="12"/>
        <v/>
      </c>
      <c r="O217" s="90"/>
      <c r="P217" s="91"/>
      <c r="Q217" s="91"/>
      <c r="R217" s="91"/>
      <c r="S217" s="41" t="str">
        <f t="shared" si="11"/>
        <v/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2.75" customHeight="1" x14ac:dyDescent="0.2">
      <c r="A218" s="9">
        <v>16042</v>
      </c>
      <c r="B218" s="9" t="s">
        <v>126</v>
      </c>
      <c r="C218" s="9" t="s">
        <v>310</v>
      </c>
      <c r="D218" s="23"/>
      <c r="E218" s="42"/>
      <c r="F218" s="43"/>
      <c r="G218" s="42"/>
      <c r="H218" s="43"/>
      <c r="I218" s="25" t="s">
        <v>30</v>
      </c>
      <c r="J218" s="34" t="str">
        <f>IF(E218="","",raw_data!C210)</f>
        <v/>
      </c>
      <c r="K218" s="46"/>
      <c r="L218" s="87"/>
      <c r="M218" s="19" t="str">
        <f>IF(E218="","",raw_data!F210)</f>
        <v/>
      </c>
      <c r="N218" s="20" t="str">
        <f t="shared" si="12"/>
        <v/>
      </c>
      <c r="O218" s="90"/>
      <c r="P218" s="91"/>
      <c r="Q218" s="91"/>
      <c r="R218" s="91"/>
      <c r="S218" s="41" t="str">
        <f t="shared" si="11"/>
        <v/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2.75" customHeight="1" x14ac:dyDescent="0.2">
      <c r="A219" s="9">
        <v>16043</v>
      </c>
      <c r="B219" s="9" t="s">
        <v>126</v>
      </c>
      <c r="C219" s="9" t="s">
        <v>311</v>
      </c>
      <c r="D219" s="23"/>
      <c r="E219" s="42"/>
      <c r="F219" s="43"/>
      <c r="G219" s="42"/>
      <c r="H219" s="43"/>
      <c r="I219" s="25" t="s">
        <v>30</v>
      </c>
      <c r="J219" s="34" t="str">
        <f>IF(E219="","",raw_data!C211)</f>
        <v/>
      </c>
      <c r="K219" s="46"/>
      <c r="L219" s="87"/>
      <c r="M219" s="19" t="str">
        <f>IF(E219="","",raw_data!F211)</f>
        <v/>
      </c>
      <c r="N219" s="20" t="str">
        <f t="shared" si="12"/>
        <v/>
      </c>
      <c r="O219" s="90"/>
      <c r="P219" s="91"/>
      <c r="Q219" s="91"/>
      <c r="R219" s="91"/>
      <c r="S219" s="41" t="str">
        <f t="shared" si="11"/>
        <v/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2.75" customHeight="1" x14ac:dyDescent="0.2">
      <c r="A220" s="9">
        <v>16044</v>
      </c>
      <c r="B220" s="9" t="s">
        <v>126</v>
      </c>
      <c r="C220" s="9" t="s">
        <v>312</v>
      </c>
      <c r="D220" s="23"/>
      <c r="E220" s="42"/>
      <c r="F220" s="43"/>
      <c r="G220" s="42"/>
      <c r="H220" s="43"/>
      <c r="I220" s="25" t="s">
        <v>30</v>
      </c>
      <c r="J220" s="34" t="str">
        <f>IF(E220="","",raw_data!C212)</f>
        <v/>
      </c>
      <c r="K220" s="46"/>
      <c r="L220" s="87"/>
      <c r="M220" s="19" t="str">
        <f>IF(E220="","",raw_data!F212)</f>
        <v/>
      </c>
      <c r="N220" s="20" t="str">
        <f t="shared" si="12"/>
        <v/>
      </c>
      <c r="O220" s="90"/>
      <c r="P220" s="91"/>
      <c r="Q220" s="91"/>
      <c r="R220" s="91"/>
      <c r="S220" s="41" t="str">
        <f t="shared" si="11"/>
        <v/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2.75" customHeight="1" x14ac:dyDescent="0.2">
      <c r="A221" s="9">
        <v>16045</v>
      </c>
      <c r="B221" s="9" t="s">
        <v>126</v>
      </c>
      <c r="C221" s="9" t="s">
        <v>313</v>
      </c>
      <c r="D221" s="23"/>
      <c r="E221" s="42"/>
      <c r="F221" s="43"/>
      <c r="G221" s="42"/>
      <c r="H221" s="43"/>
      <c r="I221" s="25" t="s">
        <v>30</v>
      </c>
      <c r="J221" s="34" t="str">
        <f>IF(E221="","",raw_data!C213)</f>
        <v/>
      </c>
      <c r="K221" s="46"/>
      <c r="L221" s="87"/>
      <c r="M221" s="19" t="str">
        <f>IF(E221="","",raw_data!F213)</f>
        <v/>
      </c>
      <c r="N221" s="20" t="str">
        <f t="shared" si="12"/>
        <v/>
      </c>
      <c r="O221" s="90"/>
      <c r="P221" s="91"/>
      <c r="Q221" s="91"/>
      <c r="R221" s="91"/>
      <c r="S221" s="41" t="str">
        <f t="shared" si="11"/>
        <v/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2.75" customHeight="1" x14ac:dyDescent="0.2">
      <c r="A222" s="9">
        <v>16046</v>
      </c>
      <c r="B222" s="9" t="s">
        <v>126</v>
      </c>
      <c r="C222" s="9" t="s">
        <v>314</v>
      </c>
      <c r="D222" s="23"/>
      <c r="E222" s="42"/>
      <c r="F222" s="43"/>
      <c r="G222" s="42"/>
      <c r="H222" s="43"/>
      <c r="I222" s="25" t="s">
        <v>30</v>
      </c>
      <c r="J222" s="34" t="str">
        <f>IF(E222="","",raw_data!C214)</f>
        <v/>
      </c>
      <c r="K222" s="46"/>
      <c r="L222" s="87"/>
      <c r="M222" s="19" t="str">
        <f>IF(E222="","",raw_data!F214)</f>
        <v/>
      </c>
      <c r="N222" s="20" t="str">
        <f t="shared" si="12"/>
        <v/>
      </c>
      <c r="O222" s="90"/>
      <c r="P222" s="91"/>
      <c r="Q222" s="91"/>
      <c r="R222" s="91"/>
      <c r="S222" s="41" t="str">
        <f t="shared" si="11"/>
        <v/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2.75" customHeight="1" x14ac:dyDescent="0.2">
      <c r="A223" s="9">
        <v>16047</v>
      </c>
      <c r="B223" s="9" t="s">
        <v>126</v>
      </c>
      <c r="C223" s="9" t="s">
        <v>315</v>
      </c>
      <c r="D223" s="23"/>
      <c r="E223" s="42"/>
      <c r="F223" s="43"/>
      <c r="G223" s="42"/>
      <c r="H223" s="43"/>
      <c r="I223" s="25" t="s">
        <v>30</v>
      </c>
      <c r="J223" s="34" t="str">
        <f>IF(E223="","",raw_data!C215)</f>
        <v/>
      </c>
      <c r="K223" s="46"/>
      <c r="L223" s="87"/>
      <c r="M223" s="19" t="str">
        <f>IF(E223="","",raw_data!F215)</f>
        <v/>
      </c>
      <c r="N223" s="20" t="str">
        <f t="shared" si="12"/>
        <v/>
      </c>
      <c r="O223" s="90"/>
      <c r="P223" s="91"/>
      <c r="Q223" s="91"/>
      <c r="R223" s="91"/>
      <c r="S223" s="41" t="str">
        <f t="shared" si="11"/>
        <v/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2.75" customHeight="1" x14ac:dyDescent="0.2">
      <c r="A224" s="9">
        <v>16048</v>
      </c>
      <c r="B224" s="9" t="s">
        <v>126</v>
      </c>
      <c r="C224" s="9" t="s">
        <v>316</v>
      </c>
      <c r="D224" s="23"/>
      <c r="E224" s="42"/>
      <c r="F224" s="43"/>
      <c r="G224" s="42"/>
      <c r="H224" s="43"/>
      <c r="I224" s="25" t="s">
        <v>30</v>
      </c>
      <c r="J224" s="34" t="str">
        <f>IF(E224="","",raw_data!C216)</f>
        <v/>
      </c>
      <c r="K224" s="46"/>
      <c r="L224" s="87"/>
      <c r="M224" s="19" t="str">
        <f>IF(E224="","",raw_data!F216)</f>
        <v/>
      </c>
      <c r="N224" s="20" t="str">
        <f t="shared" si="12"/>
        <v/>
      </c>
      <c r="O224" s="90"/>
      <c r="P224" s="91"/>
      <c r="Q224" s="91"/>
      <c r="R224" s="91"/>
      <c r="S224" s="41" t="str">
        <f t="shared" si="11"/>
        <v/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2.75" customHeight="1" x14ac:dyDescent="0.2">
      <c r="A225" s="9">
        <v>16049</v>
      </c>
      <c r="B225" s="9" t="s">
        <v>126</v>
      </c>
      <c r="C225" s="9" t="s">
        <v>317</v>
      </c>
      <c r="D225" s="23"/>
      <c r="E225" s="42"/>
      <c r="F225" s="43"/>
      <c r="G225" s="42"/>
      <c r="H225" s="43"/>
      <c r="I225" s="25" t="s">
        <v>30</v>
      </c>
      <c r="J225" s="34" t="str">
        <f>IF(E225="","",raw_data!C217)</f>
        <v/>
      </c>
      <c r="K225" s="46"/>
      <c r="L225" s="87"/>
      <c r="M225" s="19" t="str">
        <f>IF(E225="","",raw_data!F217)</f>
        <v/>
      </c>
      <c r="N225" s="20" t="str">
        <f t="shared" si="12"/>
        <v/>
      </c>
      <c r="O225" s="90"/>
      <c r="P225" s="91"/>
      <c r="Q225" s="91"/>
      <c r="R225" s="91"/>
      <c r="S225" s="41" t="str">
        <f t="shared" si="11"/>
        <v/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2.75" customHeight="1" x14ac:dyDescent="0.2">
      <c r="A226" s="9">
        <v>16050</v>
      </c>
      <c r="B226" s="9" t="s">
        <v>126</v>
      </c>
      <c r="C226" s="9" t="s">
        <v>318</v>
      </c>
      <c r="D226" s="23"/>
      <c r="E226" s="42"/>
      <c r="F226" s="43"/>
      <c r="G226" s="42"/>
      <c r="H226" s="43"/>
      <c r="I226" s="25" t="s">
        <v>30</v>
      </c>
      <c r="J226" s="34" t="str">
        <f>IF(E226="","",raw_data!C218)</f>
        <v/>
      </c>
      <c r="K226" s="46"/>
      <c r="L226" s="87"/>
      <c r="M226" s="19" t="str">
        <f>IF(E226="","",raw_data!F218)</f>
        <v/>
      </c>
      <c r="N226" s="20" t="str">
        <f t="shared" si="12"/>
        <v/>
      </c>
      <c r="O226" s="90"/>
      <c r="P226" s="91"/>
      <c r="Q226" s="91"/>
      <c r="R226" s="91"/>
      <c r="S226" s="41" t="str">
        <f t="shared" si="11"/>
        <v/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2.75" customHeight="1" x14ac:dyDescent="0.2">
      <c r="A227" s="9">
        <v>16051</v>
      </c>
      <c r="B227" s="9" t="s">
        <v>126</v>
      </c>
      <c r="C227" s="9" t="s">
        <v>319</v>
      </c>
      <c r="D227" s="23"/>
      <c r="E227" s="42"/>
      <c r="F227" s="43"/>
      <c r="G227" s="42"/>
      <c r="H227" s="43"/>
      <c r="I227" s="25" t="s">
        <v>30</v>
      </c>
      <c r="J227" s="34" t="str">
        <f>IF(E227="","",raw_data!C219)</f>
        <v/>
      </c>
      <c r="K227" s="46"/>
      <c r="L227" s="87"/>
      <c r="M227" s="19" t="str">
        <f>IF(E227="","",raw_data!F219)</f>
        <v/>
      </c>
      <c r="N227" s="20" t="str">
        <f t="shared" si="12"/>
        <v/>
      </c>
      <c r="O227" s="90"/>
      <c r="P227" s="91"/>
      <c r="Q227" s="91"/>
      <c r="R227" s="91"/>
      <c r="S227" s="41" t="str">
        <f t="shared" si="11"/>
        <v/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2.75" customHeight="1" x14ac:dyDescent="0.2">
      <c r="A228" s="9">
        <v>16052</v>
      </c>
      <c r="B228" s="9" t="s">
        <v>126</v>
      </c>
      <c r="C228" s="9" t="s">
        <v>320</v>
      </c>
      <c r="D228" s="23"/>
      <c r="E228" s="42"/>
      <c r="F228" s="43"/>
      <c r="G228" s="42"/>
      <c r="H228" s="43"/>
      <c r="I228" s="25" t="s">
        <v>30</v>
      </c>
      <c r="J228" s="34" t="str">
        <f>IF(E228="","",raw_data!C220)</f>
        <v/>
      </c>
      <c r="K228" s="46"/>
      <c r="L228" s="87"/>
      <c r="M228" s="19" t="str">
        <f>IF(E228="","",raw_data!F220)</f>
        <v/>
      </c>
      <c r="N228" s="20" t="str">
        <f t="shared" si="12"/>
        <v/>
      </c>
      <c r="O228" s="90"/>
      <c r="P228" s="91"/>
      <c r="Q228" s="91"/>
      <c r="R228" s="91"/>
      <c r="S228" s="41" t="str">
        <f t="shared" si="11"/>
        <v/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2.75" customHeight="1" x14ac:dyDescent="0.2">
      <c r="A229" s="9">
        <v>16053</v>
      </c>
      <c r="B229" s="9" t="s">
        <v>126</v>
      </c>
      <c r="C229" s="9" t="s">
        <v>321</v>
      </c>
      <c r="D229" s="23"/>
      <c r="E229" s="42"/>
      <c r="F229" s="43"/>
      <c r="G229" s="42"/>
      <c r="H229" s="43"/>
      <c r="I229" s="25" t="s">
        <v>30</v>
      </c>
      <c r="J229" s="34" t="str">
        <f>IF(E229="","",raw_data!C221)</f>
        <v/>
      </c>
      <c r="K229" s="46"/>
      <c r="L229" s="87"/>
      <c r="M229" s="19" t="str">
        <f>IF(E229="","",raw_data!F221)</f>
        <v/>
      </c>
      <c r="N229" s="20" t="str">
        <f t="shared" si="12"/>
        <v/>
      </c>
      <c r="O229" s="90"/>
      <c r="P229" s="91"/>
      <c r="Q229" s="91"/>
      <c r="R229" s="91"/>
      <c r="S229" s="41" t="str">
        <f t="shared" si="11"/>
        <v/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2.75" customHeight="1" x14ac:dyDescent="0.2">
      <c r="A230" s="9">
        <v>16054</v>
      </c>
      <c r="B230" s="9" t="s">
        <v>126</v>
      </c>
      <c r="C230" s="9" t="s">
        <v>322</v>
      </c>
      <c r="D230" s="23"/>
      <c r="E230" s="42"/>
      <c r="F230" s="43"/>
      <c r="G230" s="42"/>
      <c r="H230" s="43"/>
      <c r="I230" s="25" t="s">
        <v>30</v>
      </c>
      <c r="J230" s="34" t="str">
        <f>IF(E230="","",raw_data!C222)</f>
        <v/>
      </c>
      <c r="K230" s="46"/>
      <c r="L230" s="87"/>
      <c r="M230" s="19" t="str">
        <f>IF(E230="","",raw_data!F222)</f>
        <v/>
      </c>
      <c r="N230" s="20" t="str">
        <f t="shared" si="12"/>
        <v/>
      </c>
      <c r="O230" s="90"/>
      <c r="P230" s="91"/>
      <c r="Q230" s="91"/>
      <c r="R230" s="91"/>
      <c r="S230" s="41" t="str">
        <f t="shared" si="11"/>
        <v/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2.75" customHeight="1" x14ac:dyDescent="0.2">
      <c r="A231" s="9">
        <v>16055</v>
      </c>
      <c r="B231" s="9" t="s">
        <v>126</v>
      </c>
      <c r="C231" s="9" t="s">
        <v>323</v>
      </c>
      <c r="D231" s="23"/>
      <c r="E231" s="42"/>
      <c r="F231" s="43"/>
      <c r="G231" s="42"/>
      <c r="H231" s="43"/>
      <c r="I231" s="25" t="s">
        <v>30</v>
      </c>
      <c r="J231" s="34" t="str">
        <f>IF(E231="","",raw_data!C223)</f>
        <v/>
      </c>
      <c r="K231" s="46"/>
      <c r="L231" s="87"/>
      <c r="M231" s="19" t="str">
        <f>IF(E231="","",raw_data!F223)</f>
        <v/>
      </c>
      <c r="N231" s="20" t="str">
        <f t="shared" si="12"/>
        <v/>
      </c>
      <c r="O231" s="90"/>
      <c r="P231" s="91"/>
      <c r="Q231" s="91"/>
      <c r="R231" s="91"/>
      <c r="S231" s="41" t="str">
        <f t="shared" si="11"/>
        <v/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2.75" customHeight="1" x14ac:dyDescent="0.2">
      <c r="A232" s="9">
        <v>16056</v>
      </c>
      <c r="B232" s="9" t="s">
        <v>126</v>
      </c>
      <c r="C232" s="9" t="s">
        <v>324</v>
      </c>
      <c r="D232" s="23"/>
      <c r="E232" s="42"/>
      <c r="F232" s="43"/>
      <c r="G232" s="42"/>
      <c r="H232" s="43"/>
      <c r="I232" s="25" t="s">
        <v>30</v>
      </c>
      <c r="J232" s="34" t="str">
        <f>IF(E232="","",raw_data!C224)</f>
        <v/>
      </c>
      <c r="K232" s="46"/>
      <c r="L232" s="87"/>
      <c r="M232" s="19" t="str">
        <f>IF(E232="","",raw_data!F224)</f>
        <v/>
      </c>
      <c r="N232" s="20" t="str">
        <f t="shared" si="12"/>
        <v/>
      </c>
      <c r="O232" s="90"/>
      <c r="P232" s="91"/>
      <c r="Q232" s="91"/>
      <c r="R232" s="91"/>
      <c r="S232" s="41" t="str">
        <f t="shared" si="11"/>
        <v/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2.75" customHeight="1" x14ac:dyDescent="0.2">
      <c r="A233" s="9">
        <v>16057</v>
      </c>
      <c r="B233" s="9" t="s">
        <v>126</v>
      </c>
      <c r="C233" s="9" t="s">
        <v>325</v>
      </c>
      <c r="D233" s="23"/>
      <c r="E233" s="42"/>
      <c r="F233" s="43"/>
      <c r="G233" s="42"/>
      <c r="H233" s="43"/>
      <c r="I233" s="25" t="s">
        <v>30</v>
      </c>
      <c r="J233" s="34" t="str">
        <f>IF(E233="","",raw_data!C225)</f>
        <v/>
      </c>
      <c r="K233" s="46"/>
      <c r="L233" s="87"/>
      <c r="M233" s="19" t="str">
        <f>IF(E233="","",raw_data!F225)</f>
        <v/>
      </c>
      <c r="N233" s="20" t="str">
        <f t="shared" si="12"/>
        <v/>
      </c>
      <c r="O233" s="90"/>
      <c r="P233" s="91"/>
      <c r="Q233" s="91"/>
      <c r="R233" s="91"/>
      <c r="S233" s="41" t="str">
        <f t="shared" si="11"/>
        <v/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2.75" customHeight="1" x14ac:dyDescent="0.2">
      <c r="A234" s="9">
        <v>16058</v>
      </c>
      <c r="B234" s="9" t="s">
        <v>126</v>
      </c>
      <c r="C234" s="9" t="s">
        <v>326</v>
      </c>
      <c r="D234" s="23"/>
      <c r="E234" s="42"/>
      <c r="F234" s="43"/>
      <c r="G234" s="42"/>
      <c r="H234" s="43"/>
      <c r="I234" s="25" t="s">
        <v>30</v>
      </c>
      <c r="J234" s="34" t="str">
        <f>IF(E234="","",raw_data!C226)</f>
        <v/>
      </c>
      <c r="K234" s="46"/>
      <c r="L234" s="87"/>
      <c r="M234" s="19" t="str">
        <f>IF(E234="","",raw_data!F226)</f>
        <v/>
      </c>
      <c r="N234" s="20" t="str">
        <f t="shared" si="12"/>
        <v/>
      </c>
      <c r="O234" s="90"/>
      <c r="P234" s="91"/>
      <c r="Q234" s="91"/>
      <c r="R234" s="91"/>
      <c r="S234" s="41" t="str">
        <f t="shared" si="11"/>
        <v/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2.75" customHeight="1" x14ac:dyDescent="0.2">
      <c r="A235" s="9">
        <v>16059</v>
      </c>
      <c r="B235" s="9" t="s">
        <v>126</v>
      </c>
      <c r="C235" s="9" t="s">
        <v>327</v>
      </c>
      <c r="D235" s="23"/>
      <c r="E235" s="42"/>
      <c r="F235" s="43"/>
      <c r="G235" s="42"/>
      <c r="H235" s="43"/>
      <c r="I235" s="25" t="s">
        <v>30</v>
      </c>
      <c r="J235" s="34" t="str">
        <f>IF(E235="","",raw_data!C227)</f>
        <v/>
      </c>
      <c r="K235" s="46"/>
      <c r="L235" s="87"/>
      <c r="M235" s="19" t="str">
        <f>IF(E235="","",raw_data!F227)</f>
        <v/>
      </c>
      <c r="N235" s="20" t="str">
        <f t="shared" si="12"/>
        <v/>
      </c>
      <c r="O235" s="90"/>
      <c r="P235" s="91"/>
      <c r="Q235" s="91"/>
      <c r="R235" s="91"/>
      <c r="S235" s="41" t="str">
        <f t="shared" si="11"/>
        <v/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2.75" customHeight="1" x14ac:dyDescent="0.2">
      <c r="A236" s="9">
        <v>16060</v>
      </c>
      <c r="B236" s="9" t="s">
        <v>126</v>
      </c>
      <c r="C236" s="9" t="s">
        <v>328</v>
      </c>
      <c r="D236" s="23"/>
      <c r="E236" s="42"/>
      <c r="F236" s="43"/>
      <c r="G236" s="42"/>
      <c r="H236" s="43"/>
      <c r="I236" s="25" t="s">
        <v>30</v>
      </c>
      <c r="J236" s="34" t="str">
        <f>IF(E236="","",raw_data!C228)</f>
        <v/>
      </c>
      <c r="K236" s="46"/>
      <c r="L236" s="87"/>
      <c r="M236" s="19" t="str">
        <f>IF(E236="","",raw_data!F228)</f>
        <v/>
      </c>
      <c r="N236" s="20" t="str">
        <f t="shared" si="12"/>
        <v/>
      </c>
      <c r="O236" s="90"/>
      <c r="P236" s="91"/>
      <c r="Q236" s="91"/>
      <c r="R236" s="91"/>
      <c r="S236" s="41" t="str">
        <f t="shared" si="11"/>
        <v/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2.75" customHeight="1" x14ac:dyDescent="0.2">
      <c r="A237" s="9">
        <v>16061</v>
      </c>
      <c r="B237" s="9" t="s">
        <v>126</v>
      </c>
      <c r="C237" s="9" t="s">
        <v>329</v>
      </c>
      <c r="D237" s="23"/>
      <c r="E237" s="42"/>
      <c r="F237" s="43"/>
      <c r="G237" s="42"/>
      <c r="H237" s="43"/>
      <c r="I237" s="25" t="s">
        <v>30</v>
      </c>
      <c r="J237" s="34" t="str">
        <f>IF(E237="","",raw_data!C229)</f>
        <v/>
      </c>
      <c r="K237" s="46"/>
      <c r="L237" s="87"/>
      <c r="M237" s="19" t="str">
        <f>IF(E237="","",raw_data!F229)</f>
        <v/>
      </c>
      <c r="N237" s="20" t="str">
        <f t="shared" si="12"/>
        <v/>
      </c>
      <c r="O237" s="90"/>
      <c r="P237" s="91"/>
      <c r="Q237" s="91"/>
      <c r="R237" s="91"/>
      <c r="S237" s="41" t="str">
        <f t="shared" si="11"/>
        <v/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2.75" customHeight="1" x14ac:dyDescent="0.2">
      <c r="A238" s="9">
        <v>16062</v>
      </c>
      <c r="B238" s="9" t="s">
        <v>126</v>
      </c>
      <c r="C238" s="9" t="s">
        <v>330</v>
      </c>
      <c r="D238" s="23"/>
      <c r="E238" s="42"/>
      <c r="F238" s="43"/>
      <c r="G238" s="42"/>
      <c r="H238" s="43"/>
      <c r="I238" s="25" t="s">
        <v>30</v>
      </c>
      <c r="J238" s="34" t="str">
        <f>IF(E238="","",raw_data!C230)</f>
        <v/>
      </c>
      <c r="K238" s="46"/>
      <c r="L238" s="87"/>
      <c r="M238" s="19" t="str">
        <f>IF(E238="","",raw_data!F230)</f>
        <v/>
      </c>
      <c r="N238" s="20" t="str">
        <f t="shared" si="12"/>
        <v/>
      </c>
      <c r="O238" s="90"/>
      <c r="P238" s="91"/>
      <c r="Q238" s="91"/>
      <c r="R238" s="91"/>
      <c r="S238" s="41" t="str">
        <f t="shared" si="11"/>
        <v/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2.75" customHeight="1" x14ac:dyDescent="0.2">
      <c r="A239" s="9">
        <v>16063</v>
      </c>
      <c r="B239" s="9" t="s">
        <v>126</v>
      </c>
      <c r="C239" s="9" t="s">
        <v>331</v>
      </c>
      <c r="D239" s="23"/>
      <c r="E239" s="42"/>
      <c r="F239" s="43"/>
      <c r="G239" s="42"/>
      <c r="H239" s="43"/>
      <c r="I239" s="25" t="s">
        <v>30</v>
      </c>
      <c r="J239" s="34" t="str">
        <f>IF(E239="","",raw_data!C231)</f>
        <v/>
      </c>
      <c r="K239" s="46"/>
      <c r="L239" s="87"/>
      <c r="M239" s="19" t="str">
        <f>IF(E239="","",raw_data!F231)</f>
        <v/>
      </c>
      <c r="N239" s="20" t="str">
        <f t="shared" si="12"/>
        <v/>
      </c>
      <c r="O239" s="90"/>
      <c r="P239" s="91"/>
      <c r="Q239" s="91"/>
      <c r="R239" s="91"/>
      <c r="S239" s="41" t="str">
        <f t="shared" si="11"/>
        <v/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2.75" customHeight="1" x14ac:dyDescent="0.2">
      <c r="A240" s="9">
        <v>16064</v>
      </c>
      <c r="B240" s="9" t="s">
        <v>126</v>
      </c>
      <c r="C240" s="9" t="s">
        <v>332</v>
      </c>
      <c r="D240" s="23"/>
      <c r="E240" s="42"/>
      <c r="F240" s="43"/>
      <c r="G240" s="42"/>
      <c r="H240" s="43"/>
      <c r="I240" s="25" t="s">
        <v>30</v>
      </c>
      <c r="J240" s="34" t="str">
        <f>IF(E240="","",raw_data!C232)</f>
        <v/>
      </c>
      <c r="K240" s="46"/>
      <c r="L240" s="87"/>
      <c r="M240" s="19" t="str">
        <f>IF(E240="","",raw_data!F232)</f>
        <v/>
      </c>
      <c r="N240" s="20" t="str">
        <f t="shared" si="12"/>
        <v/>
      </c>
      <c r="O240" s="90"/>
      <c r="P240" s="91"/>
      <c r="Q240" s="91"/>
      <c r="R240" s="91"/>
      <c r="S240" s="41" t="str">
        <f t="shared" si="11"/>
        <v/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2.75" customHeight="1" x14ac:dyDescent="0.2">
      <c r="A241" s="9">
        <v>16065</v>
      </c>
      <c r="B241" s="9" t="s">
        <v>126</v>
      </c>
      <c r="C241" s="9" t="s">
        <v>333</v>
      </c>
      <c r="D241" s="23"/>
      <c r="E241" s="42"/>
      <c r="F241" s="43"/>
      <c r="G241" s="42"/>
      <c r="H241" s="43"/>
      <c r="I241" s="25" t="s">
        <v>30</v>
      </c>
      <c r="J241" s="34" t="str">
        <f>IF(E241="","",raw_data!C233)</f>
        <v/>
      </c>
      <c r="K241" s="46"/>
      <c r="L241" s="87"/>
      <c r="M241" s="19" t="str">
        <f>IF(E241="","",raw_data!F233)</f>
        <v/>
      </c>
      <c r="N241" s="20" t="str">
        <f t="shared" si="12"/>
        <v/>
      </c>
      <c r="O241" s="90"/>
      <c r="P241" s="91"/>
      <c r="Q241" s="91"/>
      <c r="R241" s="91"/>
      <c r="S241" s="41" t="str">
        <f t="shared" si="11"/>
        <v/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2.75" customHeight="1" x14ac:dyDescent="0.2">
      <c r="A242" s="9">
        <v>16066</v>
      </c>
      <c r="B242" s="9" t="s">
        <v>126</v>
      </c>
      <c r="C242" s="9" t="s">
        <v>334</v>
      </c>
      <c r="D242" s="23"/>
      <c r="E242" s="42"/>
      <c r="F242" s="43"/>
      <c r="G242" s="42"/>
      <c r="H242" s="43"/>
      <c r="I242" s="25" t="s">
        <v>30</v>
      </c>
      <c r="J242" s="34" t="str">
        <f>IF(E242="","",raw_data!C234)</f>
        <v/>
      </c>
      <c r="K242" s="46"/>
      <c r="L242" s="87"/>
      <c r="M242" s="19" t="str">
        <f>IF(E242="","",raw_data!F234)</f>
        <v/>
      </c>
      <c r="N242" s="20" t="str">
        <f t="shared" si="12"/>
        <v/>
      </c>
      <c r="O242" s="90"/>
      <c r="P242" s="91"/>
      <c r="Q242" s="91"/>
      <c r="R242" s="91"/>
      <c r="S242" s="41" t="str">
        <f t="shared" si="11"/>
        <v/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2.75" customHeight="1" x14ac:dyDescent="0.2">
      <c r="A243" s="9">
        <v>16067</v>
      </c>
      <c r="B243" s="9" t="s">
        <v>126</v>
      </c>
      <c r="C243" s="9" t="s">
        <v>335</v>
      </c>
      <c r="D243" s="23"/>
      <c r="E243" s="42"/>
      <c r="F243" s="43"/>
      <c r="G243" s="42"/>
      <c r="H243" s="43"/>
      <c r="I243" s="25" t="s">
        <v>30</v>
      </c>
      <c r="J243" s="34" t="str">
        <f>IF(E243="","",raw_data!C235)</f>
        <v/>
      </c>
      <c r="K243" s="46"/>
      <c r="L243" s="87"/>
      <c r="M243" s="19" t="str">
        <f>IF(E243="","",raw_data!F235)</f>
        <v/>
      </c>
      <c r="N243" s="20" t="str">
        <f t="shared" si="12"/>
        <v/>
      </c>
      <c r="O243" s="90"/>
      <c r="P243" s="91"/>
      <c r="Q243" s="91"/>
      <c r="R243" s="91"/>
      <c r="S243" s="41" t="str">
        <f t="shared" si="11"/>
        <v/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2.75" customHeight="1" x14ac:dyDescent="0.2">
      <c r="A244" s="9">
        <v>16068</v>
      </c>
      <c r="B244" s="9" t="s">
        <v>126</v>
      </c>
      <c r="C244" s="9" t="s">
        <v>336</v>
      </c>
      <c r="D244" s="23"/>
      <c r="E244" s="42"/>
      <c r="F244" s="43"/>
      <c r="G244" s="42"/>
      <c r="H244" s="43"/>
      <c r="I244" s="25" t="s">
        <v>30</v>
      </c>
      <c r="J244" s="34" t="str">
        <f>IF(E244="","",raw_data!C236)</f>
        <v/>
      </c>
      <c r="K244" s="46"/>
      <c r="L244" s="87"/>
      <c r="M244" s="19" t="str">
        <f>IF(E244="","",raw_data!F236)</f>
        <v/>
      </c>
      <c r="N244" s="20" t="str">
        <f t="shared" si="12"/>
        <v/>
      </c>
      <c r="O244" s="90"/>
      <c r="P244" s="91"/>
      <c r="Q244" s="91"/>
      <c r="R244" s="91"/>
      <c r="S244" s="41" t="str">
        <f t="shared" si="11"/>
        <v/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2.75" customHeight="1" x14ac:dyDescent="0.2">
      <c r="A245" s="9">
        <v>16069</v>
      </c>
      <c r="B245" s="9" t="s">
        <v>126</v>
      </c>
      <c r="C245" s="9" t="s">
        <v>220</v>
      </c>
      <c r="D245" s="23"/>
      <c r="E245" s="42"/>
      <c r="F245" s="43"/>
      <c r="G245" s="42"/>
      <c r="H245" s="43"/>
      <c r="I245" s="25" t="s">
        <v>30</v>
      </c>
      <c r="J245" s="34" t="str">
        <f>IF(E245="","",raw_data!C237)</f>
        <v/>
      </c>
      <c r="K245" s="46"/>
      <c r="L245" s="87"/>
      <c r="M245" s="19" t="str">
        <f>IF(E245="","",raw_data!F237)</f>
        <v/>
      </c>
      <c r="N245" s="20" t="str">
        <f t="shared" si="12"/>
        <v/>
      </c>
      <c r="O245" s="90"/>
      <c r="P245" s="91"/>
      <c r="Q245" s="91"/>
      <c r="R245" s="91"/>
      <c r="S245" s="41" t="str">
        <f t="shared" si="11"/>
        <v/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2.75" customHeight="1" x14ac:dyDescent="0.2">
      <c r="A246" s="9">
        <v>16070</v>
      </c>
      <c r="B246" s="9" t="s">
        <v>126</v>
      </c>
      <c r="C246" s="9" t="s">
        <v>103</v>
      </c>
      <c r="D246" s="23"/>
      <c r="E246" s="42"/>
      <c r="F246" s="43"/>
      <c r="G246" s="42"/>
      <c r="H246" s="43"/>
      <c r="I246" s="25" t="s">
        <v>30</v>
      </c>
      <c r="J246" s="34" t="str">
        <f>IF(E246="","",raw_data!C238)</f>
        <v/>
      </c>
      <c r="K246" s="46"/>
      <c r="L246" s="87"/>
      <c r="M246" s="19" t="str">
        <f>IF(E246="","",raw_data!F238)</f>
        <v/>
      </c>
      <c r="N246" s="20" t="str">
        <f t="shared" si="12"/>
        <v/>
      </c>
      <c r="O246" s="90"/>
      <c r="P246" s="91"/>
      <c r="Q246" s="91"/>
      <c r="R246" s="91"/>
      <c r="S246" s="41" t="str">
        <f t="shared" si="11"/>
        <v/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2.75" customHeight="1" x14ac:dyDescent="0.2">
      <c r="A247" s="9" t="s">
        <v>433</v>
      </c>
      <c r="B247" s="9" t="s">
        <v>126</v>
      </c>
      <c r="C247" s="9" t="s">
        <v>221</v>
      </c>
      <c r="D247" s="23"/>
      <c r="E247" s="42">
        <v>1</v>
      </c>
      <c r="F247" s="43"/>
      <c r="G247" s="42" t="s">
        <v>387</v>
      </c>
      <c r="H247" s="43"/>
      <c r="I247" s="25" t="s">
        <v>30</v>
      </c>
      <c r="J247" s="34">
        <f>IF(E247="","",raw_data!C239)</f>
        <v>0</v>
      </c>
      <c r="K247" s="46"/>
      <c r="L247" s="87"/>
      <c r="M247" s="19">
        <f>IF(E247="","",raw_data!F239)</f>
        <v>0</v>
      </c>
      <c r="N247" s="20" t="str">
        <f t="shared" si="12"/>
        <v>-</v>
      </c>
      <c r="O247" s="90"/>
      <c r="P247" s="91"/>
      <c r="Q247" s="91"/>
      <c r="R247" s="91"/>
      <c r="S247" s="41" t="str">
        <f t="shared" si="11"/>
        <v>erfüllt</v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2.75" customHeight="1" x14ac:dyDescent="0.2">
      <c r="A248" s="9" t="s">
        <v>432</v>
      </c>
      <c r="B248" s="9" t="s">
        <v>126</v>
      </c>
      <c r="C248" s="9" t="s">
        <v>221</v>
      </c>
      <c r="D248" s="23" t="s">
        <v>377</v>
      </c>
      <c r="E248" s="42">
        <v>0.5</v>
      </c>
      <c r="F248" s="43"/>
      <c r="G248" s="42" t="s">
        <v>155</v>
      </c>
      <c r="H248" s="43"/>
      <c r="I248" s="25" t="s">
        <v>30</v>
      </c>
      <c r="J248" s="34">
        <f>IF(E248="","",raw_data!C240)</f>
        <v>0</v>
      </c>
      <c r="K248" s="46"/>
      <c r="L248" s="87"/>
      <c r="M248" s="19">
        <f>IF(E248="","",raw_data!F240)</f>
        <v>0</v>
      </c>
      <c r="N248" s="20" t="str">
        <f t="shared" si="12"/>
        <v>-</v>
      </c>
      <c r="O248" s="90"/>
      <c r="P248" s="91"/>
      <c r="Q248" s="91"/>
      <c r="R248" s="91"/>
      <c r="S248" s="41" t="str">
        <f t="shared" si="11"/>
        <v>erfüllt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2.75" customHeight="1" x14ac:dyDescent="0.2">
      <c r="A249" s="9">
        <v>16072</v>
      </c>
      <c r="B249" s="9" t="s">
        <v>126</v>
      </c>
      <c r="C249" s="9" t="s">
        <v>132</v>
      </c>
      <c r="D249" s="23"/>
      <c r="E249" s="42">
        <v>1</v>
      </c>
      <c r="F249" s="43"/>
      <c r="G249" s="42" t="s">
        <v>155</v>
      </c>
      <c r="H249" s="43"/>
      <c r="I249" s="25" t="s">
        <v>30</v>
      </c>
      <c r="J249" s="34">
        <f>IF(E249="","",raw_data!C241)</f>
        <v>0</v>
      </c>
      <c r="K249" s="46"/>
      <c r="L249" s="87"/>
      <c r="M249" s="19">
        <f>IF(E249="","",raw_data!F241)</f>
        <v>0</v>
      </c>
      <c r="N249" s="20" t="str">
        <f t="shared" si="12"/>
        <v>-</v>
      </c>
      <c r="O249" s="90"/>
      <c r="P249" s="91"/>
      <c r="Q249" s="91"/>
      <c r="R249" s="91"/>
      <c r="S249" s="41" t="str">
        <f t="shared" si="11"/>
        <v>erfüllt</v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2.75" customHeight="1" x14ac:dyDescent="0.2">
      <c r="A250" s="9">
        <v>17001</v>
      </c>
      <c r="B250" s="9" t="s">
        <v>133</v>
      </c>
      <c r="C250" s="9" t="s">
        <v>14</v>
      </c>
      <c r="D250" s="23"/>
      <c r="E250" s="42">
        <v>1</v>
      </c>
      <c r="F250" s="43"/>
      <c r="G250" s="42" t="s">
        <v>155</v>
      </c>
      <c r="H250" s="43"/>
      <c r="I250" s="25" t="s">
        <v>30</v>
      </c>
      <c r="J250" s="34">
        <f>IF(E250="","",raw_data!C242)</f>
        <v>0</v>
      </c>
      <c r="K250" s="46"/>
      <c r="L250" s="87"/>
      <c r="M250" s="19">
        <f>IF(E250="","",raw_data!F242)</f>
        <v>0</v>
      </c>
      <c r="N250" s="20" t="str">
        <f t="shared" si="12"/>
        <v>-</v>
      </c>
      <c r="O250" s="90"/>
      <c r="P250" s="91"/>
      <c r="Q250" s="91"/>
      <c r="R250" s="91"/>
      <c r="S250" s="41" t="str">
        <f t="shared" si="11"/>
        <v>erfüllt</v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2.75" customHeight="1" x14ac:dyDescent="0.2">
      <c r="A251" s="9">
        <v>17002</v>
      </c>
      <c r="B251" s="9" t="s">
        <v>133</v>
      </c>
      <c r="C251" s="9" t="s">
        <v>6</v>
      </c>
      <c r="D251" s="23"/>
      <c r="E251" s="42">
        <v>1</v>
      </c>
      <c r="F251" s="43"/>
      <c r="G251" s="42" t="s">
        <v>155</v>
      </c>
      <c r="H251" s="43"/>
      <c r="I251" s="25" t="s">
        <v>30</v>
      </c>
      <c r="J251" s="34">
        <f>IF(E251="","",raw_data!C243)</f>
        <v>0</v>
      </c>
      <c r="K251" s="46"/>
      <c r="L251" s="87"/>
      <c r="M251" s="19">
        <f>IF(E251="","",raw_data!F243)</f>
        <v>0</v>
      </c>
      <c r="N251" s="20" t="str">
        <f t="shared" si="12"/>
        <v>-</v>
      </c>
      <c r="O251" s="90"/>
      <c r="P251" s="91"/>
      <c r="Q251" s="91"/>
      <c r="R251" s="91"/>
      <c r="S251" s="41" t="str">
        <f t="shared" si="11"/>
        <v>erfüllt</v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2.75" customHeight="1" x14ac:dyDescent="0.2">
      <c r="A252" s="9">
        <v>17003</v>
      </c>
      <c r="B252" s="9" t="s">
        <v>133</v>
      </c>
      <c r="C252" s="9" t="s">
        <v>160</v>
      </c>
      <c r="D252" s="23"/>
      <c r="E252" s="42"/>
      <c r="F252" s="43"/>
      <c r="G252" s="42"/>
      <c r="H252" s="43"/>
      <c r="I252" s="25" t="s">
        <v>30</v>
      </c>
      <c r="J252" s="34" t="str">
        <f>IF(E252="","",raw_data!C244)</f>
        <v/>
      </c>
      <c r="K252" s="46"/>
      <c r="L252" s="87"/>
      <c r="M252" s="19" t="str">
        <f>IF(E252="","",raw_data!F244)</f>
        <v/>
      </c>
      <c r="N252" s="20" t="str">
        <f t="shared" si="12"/>
        <v/>
      </c>
      <c r="O252" s="90"/>
      <c r="P252" s="91"/>
      <c r="Q252" s="91"/>
      <c r="R252" s="91"/>
      <c r="S252" s="41" t="str">
        <f t="shared" si="11"/>
        <v/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2.75" customHeight="1" x14ac:dyDescent="0.2">
      <c r="A253" s="9">
        <v>17004</v>
      </c>
      <c r="B253" s="9" t="s">
        <v>133</v>
      </c>
      <c r="C253" s="9" t="s">
        <v>161</v>
      </c>
      <c r="D253" s="23"/>
      <c r="E253" s="42"/>
      <c r="F253" s="43"/>
      <c r="G253" s="42"/>
      <c r="H253" s="43"/>
      <c r="I253" s="25" t="s">
        <v>30</v>
      </c>
      <c r="J253" s="34" t="str">
        <f>IF(E253="","",raw_data!C245)</f>
        <v/>
      </c>
      <c r="K253" s="46"/>
      <c r="L253" s="87"/>
      <c r="M253" s="19" t="str">
        <f>IF(E253="","",raw_data!F245)</f>
        <v/>
      </c>
      <c r="N253" s="20" t="str">
        <f t="shared" si="12"/>
        <v/>
      </c>
      <c r="O253" s="90"/>
      <c r="P253" s="91"/>
      <c r="Q253" s="91"/>
      <c r="R253" s="91"/>
      <c r="S253" s="41" t="str">
        <f t="shared" si="11"/>
        <v/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2.75" customHeight="1" x14ac:dyDescent="0.2">
      <c r="A254" s="9">
        <v>17005</v>
      </c>
      <c r="B254" s="9" t="s">
        <v>133</v>
      </c>
      <c r="C254" s="9" t="s">
        <v>184</v>
      </c>
      <c r="D254" s="23"/>
      <c r="E254" s="42">
        <v>1</v>
      </c>
      <c r="F254" s="43"/>
      <c r="G254" s="42" t="s">
        <v>155</v>
      </c>
      <c r="H254" s="43"/>
      <c r="I254" s="25" t="s">
        <v>30</v>
      </c>
      <c r="J254" s="34">
        <f>IF(E254="","",raw_data!C246)</f>
        <v>0</v>
      </c>
      <c r="K254" s="46"/>
      <c r="L254" s="87"/>
      <c r="M254" s="19">
        <f>IF(E254="","",raw_data!F246)</f>
        <v>0</v>
      </c>
      <c r="N254" s="20" t="str">
        <f t="shared" si="12"/>
        <v>-</v>
      </c>
      <c r="O254" s="90"/>
      <c r="P254" s="91"/>
      <c r="Q254" s="91"/>
      <c r="R254" s="91"/>
      <c r="S254" s="41" t="str">
        <f t="shared" si="11"/>
        <v>erfüllt</v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2.75" customHeight="1" x14ac:dyDescent="0.2">
      <c r="A255" s="9">
        <v>17006</v>
      </c>
      <c r="B255" s="9" t="s">
        <v>133</v>
      </c>
      <c r="C255" s="9" t="s">
        <v>222</v>
      </c>
      <c r="D255" s="23"/>
      <c r="E255" s="42">
        <v>1</v>
      </c>
      <c r="F255" s="43"/>
      <c r="G255" s="42" t="s">
        <v>155</v>
      </c>
      <c r="H255" s="43"/>
      <c r="I255" s="25" t="s">
        <v>30</v>
      </c>
      <c r="J255" s="34">
        <f>IF(E255="","",raw_data!C247)</f>
        <v>0</v>
      </c>
      <c r="K255" s="46"/>
      <c r="L255" s="87"/>
      <c r="M255" s="19">
        <f>IF(E255="","",raw_data!F247)</f>
        <v>0</v>
      </c>
      <c r="N255" s="20" t="str">
        <f t="shared" si="12"/>
        <v>-</v>
      </c>
      <c r="O255" s="90"/>
      <c r="P255" s="91"/>
      <c r="Q255" s="91"/>
      <c r="R255" s="91"/>
      <c r="S255" s="41" t="str">
        <f t="shared" si="11"/>
        <v>erfüllt</v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2.75" customHeight="1" x14ac:dyDescent="0.2">
      <c r="A256" s="9">
        <v>17007</v>
      </c>
      <c r="B256" s="9" t="s">
        <v>133</v>
      </c>
      <c r="C256" s="9" t="s">
        <v>162</v>
      </c>
      <c r="D256" s="23"/>
      <c r="E256" s="42"/>
      <c r="F256" s="43"/>
      <c r="G256" s="42"/>
      <c r="H256" s="43"/>
      <c r="I256" s="25" t="s">
        <v>30</v>
      </c>
      <c r="J256" s="34" t="str">
        <f>IF(E256="","",raw_data!C248)</f>
        <v/>
      </c>
      <c r="K256" s="46"/>
      <c r="L256" s="87"/>
      <c r="M256" s="19" t="str">
        <f>IF(E256="","",raw_data!F248)</f>
        <v/>
      </c>
      <c r="N256" s="20" t="str">
        <f t="shared" si="12"/>
        <v/>
      </c>
      <c r="O256" s="90"/>
      <c r="P256" s="91"/>
      <c r="Q256" s="91"/>
      <c r="R256" s="91"/>
      <c r="S256" s="41" t="str">
        <f t="shared" si="11"/>
        <v/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2.75" customHeight="1" x14ac:dyDescent="0.2">
      <c r="A257" s="9">
        <v>17008</v>
      </c>
      <c r="B257" s="9" t="s">
        <v>133</v>
      </c>
      <c r="C257" s="9" t="s">
        <v>9</v>
      </c>
      <c r="D257" s="23"/>
      <c r="E257" s="42">
        <v>1</v>
      </c>
      <c r="F257" s="43"/>
      <c r="G257" s="42" t="s">
        <v>155</v>
      </c>
      <c r="H257" s="43"/>
      <c r="I257" s="25" t="s">
        <v>30</v>
      </c>
      <c r="J257" s="34">
        <f>IF(E257="","",raw_data!C249)</f>
        <v>0</v>
      </c>
      <c r="K257" s="46"/>
      <c r="L257" s="87"/>
      <c r="M257" s="19">
        <f>IF(E257="","",raw_data!F249)</f>
        <v>0</v>
      </c>
      <c r="N257" s="20" t="str">
        <f t="shared" si="12"/>
        <v>-</v>
      </c>
      <c r="O257" s="90"/>
      <c r="P257" s="91"/>
      <c r="Q257" s="91"/>
      <c r="R257" s="91"/>
      <c r="S257" s="41" t="str">
        <f t="shared" si="11"/>
        <v>erfüllt</v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2.75" customHeight="1" x14ac:dyDescent="0.2">
      <c r="A258" s="9">
        <v>18001</v>
      </c>
      <c r="B258" s="9" t="s">
        <v>13</v>
      </c>
      <c r="C258" s="9" t="s">
        <v>14</v>
      </c>
      <c r="D258" s="23"/>
      <c r="E258" s="42">
        <v>1</v>
      </c>
      <c r="F258" s="43"/>
      <c r="G258" s="42" t="s">
        <v>155</v>
      </c>
      <c r="H258" s="43"/>
      <c r="I258" s="25" t="s">
        <v>13</v>
      </c>
      <c r="J258" s="34">
        <f>IF(E258="","",raw_data!C250)</f>
        <v>0</v>
      </c>
      <c r="K258" s="46"/>
      <c r="L258" s="87"/>
      <c r="M258" s="19">
        <f>IF(E258="","",raw_data!F250)</f>
        <v>0</v>
      </c>
      <c r="N258" s="20" t="str">
        <f t="shared" si="12"/>
        <v>-</v>
      </c>
      <c r="O258" s="90"/>
      <c r="P258" s="91"/>
      <c r="Q258" s="91"/>
      <c r="R258" s="91"/>
      <c r="S258" s="41" t="str">
        <f t="shared" si="11"/>
        <v>erfüllt</v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2.75" customHeight="1" x14ac:dyDescent="0.2">
      <c r="A259" s="9">
        <v>18002</v>
      </c>
      <c r="B259" s="9" t="s">
        <v>13</v>
      </c>
      <c r="C259" s="9" t="s">
        <v>16</v>
      </c>
      <c r="D259" s="23"/>
      <c r="E259" s="42">
        <v>1</v>
      </c>
      <c r="F259" s="43"/>
      <c r="G259" s="42" t="s">
        <v>155</v>
      </c>
      <c r="H259" s="43"/>
      <c r="I259" s="25" t="s">
        <v>13</v>
      </c>
      <c r="J259" s="34">
        <f>IF(E259="","",raw_data!C251)</f>
        <v>0</v>
      </c>
      <c r="K259" s="46"/>
      <c r="L259" s="87"/>
      <c r="M259" s="19">
        <f>IF(E259="","",raw_data!F251)</f>
        <v>0</v>
      </c>
      <c r="N259" s="20" t="str">
        <f t="shared" si="12"/>
        <v>-</v>
      </c>
      <c r="O259" s="90"/>
      <c r="P259" s="91"/>
      <c r="Q259" s="91"/>
      <c r="R259" s="91"/>
      <c r="S259" s="41" t="str">
        <f t="shared" si="11"/>
        <v>erfüllt</v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2.75" customHeight="1" x14ac:dyDescent="0.2">
      <c r="A260" s="9">
        <v>18003</v>
      </c>
      <c r="B260" s="9" t="s">
        <v>13</v>
      </c>
      <c r="C260" s="9" t="s">
        <v>17</v>
      </c>
      <c r="D260" s="23"/>
      <c r="E260" s="42"/>
      <c r="F260" s="43"/>
      <c r="G260" s="42"/>
      <c r="H260" s="43"/>
      <c r="I260" s="25" t="s">
        <v>13</v>
      </c>
      <c r="J260" s="34" t="str">
        <f>IF(E260="","",raw_data!C252)</f>
        <v/>
      </c>
      <c r="K260" s="46"/>
      <c r="L260" s="87"/>
      <c r="M260" s="19" t="str">
        <f>IF(E260="","",raw_data!F252)</f>
        <v/>
      </c>
      <c r="N260" s="20" t="str">
        <f t="shared" si="12"/>
        <v/>
      </c>
      <c r="O260" s="90"/>
      <c r="P260" s="91"/>
      <c r="Q260" s="91"/>
      <c r="R260" s="91"/>
      <c r="S260" s="41" t="str">
        <f t="shared" si="11"/>
        <v/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2.75" customHeight="1" x14ac:dyDescent="0.2">
      <c r="A261" s="9">
        <v>18004</v>
      </c>
      <c r="B261" s="9" t="s">
        <v>13</v>
      </c>
      <c r="C261" s="9" t="s">
        <v>18</v>
      </c>
      <c r="D261" s="23"/>
      <c r="E261" s="42">
        <v>1</v>
      </c>
      <c r="F261" s="43"/>
      <c r="G261" s="42" t="s">
        <v>155</v>
      </c>
      <c r="H261" s="43"/>
      <c r="I261" s="25" t="s">
        <v>13</v>
      </c>
      <c r="J261" s="34">
        <f>IF(E261="","",raw_data!C253)</f>
        <v>0</v>
      </c>
      <c r="K261" s="46"/>
      <c r="L261" s="87"/>
      <c r="M261" s="19">
        <f>IF(E261="","",raw_data!F253)</f>
        <v>0</v>
      </c>
      <c r="N261" s="20" t="str">
        <f t="shared" si="12"/>
        <v>-</v>
      </c>
      <c r="O261" s="90"/>
      <c r="P261" s="91"/>
      <c r="Q261" s="91"/>
      <c r="R261" s="91"/>
      <c r="S261" s="41" t="str">
        <f t="shared" si="11"/>
        <v>erfüllt</v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2.75" customHeight="1" x14ac:dyDescent="0.2">
      <c r="A262" s="9">
        <v>18005</v>
      </c>
      <c r="B262" s="9" t="s">
        <v>13</v>
      </c>
      <c r="C262" s="9" t="s">
        <v>19</v>
      </c>
      <c r="D262" s="23"/>
      <c r="E262" s="42"/>
      <c r="F262" s="43"/>
      <c r="G262" s="42"/>
      <c r="H262" s="43"/>
      <c r="I262" s="25" t="s">
        <v>13</v>
      </c>
      <c r="J262" s="34" t="str">
        <f>IF(E262="","",raw_data!C254)</f>
        <v/>
      </c>
      <c r="K262" s="46"/>
      <c r="L262" s="87"/>
      <c r="M262" s="19" t="str">
        <f>IF(E262="","",raw_data!F254)</f>
        <v/>
      </c>
      <c r="N262" s="20" t="str">
        <f t="shared" si="12"/>
        <v/>
      </c>
      <c r="O262" s="90"/>
      <c r="P262" s="91"/>
      <c r="Q262" s="91"/>
      <c r="R262" s="91"/>
      <c r="S262" s="41" t="str">
        <f t="shared" si="11"/>
        <v/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2.75" customHeight="1" x14ac:dyDescent="0.2">
      <c r="A263" s="9">
        <v>18006</v>
      </c>
      <c r="B263" s="9" t="s">
        <v>13</v>
      </c>
      <c r="C263" s="9" t="s">
        <v>160</v>
      </c>
      <c r="D263" s="23"/>
      <c r="E263" s="42"/>
      <c r="F263" s="43"/>
      <c r="G263" s="42"/>
      <c r="H263" s="43"/>
      <c r="I263" s="25" t="s">
        <v>13</v>
      </c>
      <c r="J263" s="34" t="str">
        <f>IF(E263="","",raw_data!C255)</f>
        <v/>
      </c>
      <c r="K263" s="46"/>
      <c r="L263" s="87"/>
      <c r="M263" s="19" t="str">
        <f>IF(E263="","",raw_data!F255)</f>
        <v/>
      </c>
      <c r="N263" s="20" t="str">
        <f t="shared" si="12"/>
        <v/>
      </c>
      <c r="O263" s="90"/>
      <c r="P263" s="91"/>
      <c r="Q263" s="91"/>
      <c r="R263" s="91"/>
      <c r="S263" s="41" t="str">
        <f t="shared" si="11"/>
        <v/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2.75" customHeight="1" x14ac:dyDescent="0.2">
      <c r="A264" s="9">
        <v>18007</v>
      </c>
      <c r="B264" s="9" t="s">
        <v>13</v>
      </c>
      <c r="C264" s="9" t="s">
        <v>161</v>
      </c>
      <c r="D264" s="23"/>
      <c r="E264" s="42"/>
      <c r="F264" s="43"/>
      <c r="G264" s="42"/>
      <c r="H264" s="43"/>
      <c r="I264" s="25" t="s">
        <v>13</v>
      </c>
      <c r="J264" s="34" t="str">
        <f>IF(E264="","",raw_data!C256)</f>
        <v/>
      </c>
      <c r="K264" s="46"/>
      <c r="L264" s="87"/>
      <c r="M264" s="19" t="str">
        <f>IF(E264="","",raw_data!F256)</f>
        <v/>
      </c>
      <c r="N264" s="20" t="str">
        <f t="shared" si="12"/>
        <v/>
      </c>
      <c r="O264" s="90"/>
      <c r="P264" s="91"/>
      <c r="Q264" s="91"/>
      <c r="R264" s="91"/>
      <c r="S264" s="41" t="str">
        <f t="shared" si="11"/>
        <v/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2.75" customHeight="1" x14ac:dyDescent="0.2">
      <c r="A265" s="9">
        <v>18008</v>
      </c>
      <c r="B265" s="9" t="s">
        <v>13</v>
      </c>
      <c r="C265" s="9" t="s">
        <v>20</v>
      </c>
      <c r="D265" s="23"/>
      <c r="E265" s="42">
        <v>1</v>
      </c>
      <c r="F265" s="43"/>
      <c r="G265" s="42" t="s">
        <v>155</v>
      </c>
      <c r="H265" s="43"/>
      <c r="I265" s="25" t="s">
        <v>13</v>
      </c>
      <c r="J265" s="34">
        <f>IF(E265="","",raw_data!C257)</f>
        <v>0</v>
      </c>
      <c r="K265" s="46"/>
      <c r="L265" s="87"/>
      <c r="M265" s="19">
        <f>IF(E265="","",raw_data!F257)</f>
        <v>0</v>
      </c>
      <c r="N265" s="20" t="str">
        <f t="shared" si="12"/>
        <v>-</v>
      </c>
      <c r="O265" s="90"/>
      <c r="P265" s="91"/>
      <c r="Q265" s="91"/>
      <c r="R265" s="91"/>
      <c r="S265" s="41" t="str">
        <f t="shared" si="11"/>
        <v>erfüllt</v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2.75" customHeight="1" x14ac:dyDescent="0.2">
      <c r="A266" s="9">
        <v>18009</v>
      </c>
      <c r="B266" s="9" t="s">
        <v>13</v>
      </c>
      <c r="C266" s="9" t="s">
        <v>21</v>
      </c>
      <c r="D266" s="23"/>
      <c r="E266" s="42"/>
      <c r="F266" s="43"/>
      <c r="G266" s="42"/>
      <c r="H266" s="43"/>
      <c r="I266" s="25" t="s">
        <v>13</v>
      </c>
      <c r="J266" s="34" t="str">
        <f>IF(E266="","",raw_data!C258)</f>
        <v/>
      </c>
      <c r="K266" s="46"/>
      <c r="L266" s="87"/>
      <c r="M266" s="19" t="str">
        <f>IF(E266="","",raw_data!F258)</f>
        <v/>
      </c>
      <c r="N266" s="20" t="str">
        <f t="shared" si="12"/>
        <v/>
      </c>
      <c r="O266" s="90"/>
      <c r="P266" s="91"/>
      <c r="Q266" s="91"/>
      <c r="R266" s="91"/>
      <c r="S266" s="41" t="str">
        <f t="shared" ref="S266:S329" si="13">IF(E266="","",IF(OR(NOT(ISNUMBER(N266)),N266&lt;=(1-E266)),"erfüllt",IF(G266="Fehler","mit Fehler",IF(G266="Warnung","mit Warnung",""))))</f>
        <v/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2.75" customHeight="1" x14ac:dyDescent="0.2">
      <c r="A267" s="9">
        <v>18010</v>
      </c>
      <c r="B267" s="9" t="s">
        <v>13</v>
      </c>
      <c r="C267" s="9" t="s">
        <v>223</v>
      </c>
      <c r="D267" s="23"/>
      <c r="E267" s="42"/>
      <c r="F267" s="43"/>
      <c r="G267" s="42"/>
      <c r="H267" s="43"/>
      <c r="I267" s="25" t="s">
        <v>13</v>
      </c>
      <c r="J267" s="34" t="str">
        <f>IF(E267="","",raw_data!C259)</f>
        <v/>
      </c>
      <c r="K267" s="46"/>
      <c r="L267" s="87"/>
      <c r="M267" s="19" t="str">
        <f>IF(E267="","",raw_data!F259)</f>
        <v/>
      </c>
      <c r="N267" s="20" t="str">
        <f t="shared" ref="N267:N330" si="14">IF(E267="","",IFERROR(M267/J267,"-"))</f>
        <v/>
      </c>
      <c r="O267" s="90"/>
      <c r="P267" s="91"/>
      <c r="Q267" s="91"/>
      <c r="R267" s="91"/>
      <c r="S267" s="41" t="str">
        <f t="shared" si="13"/>
        <v/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2.75" customHeight="1" x14ac:dyDescent="0.2">
      <c r="A268" s="9">
        <v>18011</v>
      </c>
      <c r="B268" s="9" t="s">
        <v>13</v>
      </c>
      <c r="C268" s="9" t="s">
        <v>224</v>
      </c>
      <c r="D268" s="23"/>
      <c r="E268" s="42"/>
      <c r="F268" s="43"/>
      <c r="G268" s="42"/>
      <c r="H268" s="43"/>
      <c r="I268" s="25" t="s">
        <v>13</v>
      </c>
      <c r="J268" s="34" t="str">
        <f>IF(E268="","",raw_data!C260)</f>
        <v/>
      </c>
      <c r="K268" s="46"/>
      <c r="L268" s="87"/>
      <c r="M268" s="19" t="str">
        <f>IF(E268="","",raw_data!F260)</f>
        <v/>
      </c>
      <c r="N268" s="20" t="str">
        <f t="shared" si="14"/>
        <v/>
      </c>
      <c r="O268" s="90"/>
      <c r="P268" s="91"/>
      <c r="Q268" s="91"/>
      <c r="R268" s="91"/>
      <c r="S268" s="41" t="str">
        <f t="shared" si="13"/>
        <v/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2.75" customHeight="1" x14ac:dyDescent="0.2">
      <c r="A269" s="9">
        <v>18012</v>
      </c>
      <c r="B269" s="9" t="s">
        <v>13</v>
      </c>
      <c r="C269" s="9" t="s">
        <v>22</v>
      </c>
      <c r="D269" s="23"/>
      <c r="E269" s="42">
        <v>1</v>
      </c>
      <c r="F269" s="43"/>
      <c r="G269" s="42" t="s">
        <v>155</v>
      </c>
      <c r="H269" s="43"/>
      <c r="I269" s="25" t="s">
        <v>13</v>
      </c>
      <c r="J269" s="34">
        <f>IF(E269="","",raw_data!C261)</f>
        <v>0</v>
      </c>
      <c r="K269" s="46"/>
      <c r="L269" s="87"/>
      <c r="M269" s="19">
        <f>IF(E269="","",raw_data!F261)</f>
        <v>0</v>
      </c>
      <c r="N269" s="20" t="str">
        <f t="shared" si="14"/>
        <v>-</v>
      </c>
      <c r="O269" s="90"/>
      <c r="P269" s="91"/>
      <c r="Q269" s="91"/>
      <c r="R269" s="91"/>
      <c r="S269" s="41" t="str">
        <f t="shared" si="13"/>
        <v>erfüllt</v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2.75" customHeight="1" x14ac:dyDescent="0.2">
      <c r="A270" s="9">
        <v>18013</v>
      </c>
      <c r="B270" s="9" t="s">
        <v>13</v>
      </c>
      <c r="C270" s="9" t="s">
        <v>225</v>
      </c>
      <c r="D270" s="23"/>
      <c r="E270" s="42"/>
      <c r="F270" s="43"/>
      <c r="G270" s="42"/>
      <c r="H270" s="43"/>
      <c r="I270" s="25" t="s">
        <v>13</v>
      </c>
      <c r="J270" s="34" t="str">
        <f>IF(E270="","",raw_data!C262)</f>
        <v/>
      </c>
      <c r="K270" s="46"/>
      <c r="L270" s="87"/>
      <c r="M270" s="19" t="str">
        <f>IF(E270="","",raw_data!F262)</f>
        <v/>
      </c>
      <c r="N270" s="20" t="str">
        <f t="shared" si="14"/>
        <v/>
      </c>
      <c r="O270" s="90"/>
      <c r="P270" s="91"/>
      <c r="Q270" s="91"/>
      <c r="R270" s="91"/>
      <c r="S270" s="41" t="str">
        <f t="shared" si="13"/>
        <v/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2.75" customHeight="1" x14ac:dyDescent="0.2">
      <c r="A271" s="9">
        <v>18014</v>
      </c>
      <c r="B271" s="9" t="s">
        <v>13</v>
      </c>
      <c r="C271" s="9" t="s">
        <v>23</v>
      </c>
      <c r="D271" s="23"/>
      <c r="E271" s="42"/>
      <c r="F271" s="43"/>
      <c r="G271" s="42"/>
      <c r="H271" s="43"/>
      <c r="I271" s="25" t="s">
        <v>13</v>
      </c>
      <c r="J271" s="34" t="str">
        <f>IF(E271="","",raw_data!C263)</f>
        <v/>
      </c>
      <c r="K271" s="46"/>
      <c r="L271" s="87"/>
      <c r="M271" s="19" t="str">
        <f>IF(E271="","",raw_data!F263)</f>
        <v/>
      </c>
      <c r="N271" s="20" t="str">
        <f t="shared" si="14"/>
        <v/>
      </c>
      <c r="O271" s="90"/>
      <c r="P271" s="91"/>
      <c r="Q271" s="91"/>
      <c r="R271" s="91"/>
      <c r="S271" s="41" t="str">
        <f t="shared" si="13"/>
        <v/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2.75" customHeight="1" x14ac:dyDescent="0.2">
      <c r="A272" s="9">
        <v>18015</v>
      </c>
      <c r="B272" s="9" t="s">
        <v>13</v>
      </c>
      <c r="C272" s="9" t="s">
        <v>226</v>
      </c>
      <c r="D272" s="23"/>
      <c r="E272" s="42"/>
      <c r="F272" s="43"/>
      <c r="G272" s="42"/>
      <c r="H272" s="43"/>
      <c r="I272" s="25" t="s">
        <v>13</v>
      </c>
      <c r="J272" s="34" t="str">
        <f>IF(E272="","",raw_data!C264)</f>
        <v/>
      </c>
      <c r="K272" s="46"/>
      <c r="L272" s="87"/>
      <c r="M272" s="19" t="str">
        <f>IF(E272="","",raw_data!F264)</f>
        <v/>
      </c>
      <c r="N272" s="20" t="str">
        <f t="shared" si="14"/>
        <v/>
      </c>
      <c r="O272" s="90"/>
      <c r="P272" s="91"/>
      <c r="Q272" s="91"/>
      <c r="R272" s="91"/>
      <c r="S272" s="41" t="str">
        <f t="shared" si="13"/>
        <v/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2.75" customHeight="1" x14ac:dyDescent="0.2">
      <c r="A273" s="9">
        <v>18016</v>
      </c>
      <c r="B273" s="9" t="s">
        <v>13</v>
      </c>
      <c r="C273" s="9" t="s">
        <v>227</v>
      </c>
      <c r="D273" s="23"/>
      <c r="E273" s="42"/>
      <c r="F273" s="43"/>
      <c r="G273" s="42"/>
      <c r="H273" s="43"/>
      <c r="I273" s="25" t="s">
        <v>13</v>
      </c>
      <c r="J273" s="34" t="str">
        <f>IF(E273="","",raw_data!C265)</f>
        <v/>
      </c>
      <c r="K273" s="46"/>
      <c r="L273" s="87"/>
      <c r="M273" s="19" t="str">
        <f>IF(E273="","",raw_data!F265)</f>
        <v/>
      </c>
      <c r="N273" s="20" t="str">
        <f t="shared" si="14"/>
        <v/>
      </c>
      <c r="O273" s="90"/>
      <c r="P273" s="91"/>
      <c r="Q273" s="91"/>
      <c r="R273" s="91"/>
      <c r="S273" s="41" t="str">
        <f t="shared" si="13"/>
        <v/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2.75" customHeight="1" x14ac:dyDescent="0.2">
      <c r="A274" s="9">
        <v>18017</v>
      </c>
      <c r="B274" s="9" t="s">
        <v>13</v>
      </c>
      <c r="C274" s="9" t="s">
        <v>162</v>
      </c>
      <c r="D274" s="23"/>
      <c r="E274" s="42"/>
      <c r="F274" s="43"/>
      <c r="G274" s="42"/>
      <c r="H274" s="43"/>
      <c r="I274" s="25" t="s">
        <v>13</v>
      </c>
      <c r="J274" s="34" t="str">
        <f>IF(E274="","",raw_data!C266)</f>
        <v/>
      </c>
      <c r="K274" s="46"/>
      <c r="L274" s="87"/>
      <c r="M274" s="19" t="str">
        <f>IF(E274="","",raw_data!F266)</f>
        <v/>
      </c>
      <c r="N274" s="20" t="str">
        <f t="shared" si="14"/>
        <v/>
      </c>
      <c r="O274" s="90"/>
      <c r="P274" s="91"/>
      <c r="Q274" s="91"/>
      <c r="R274" s="91"/>
      <c r="S274" s="41" t="str">
        <f t="shared" si="13"/>
        <v/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2.75" customHeight="1" x14ac:dyDescent="0.2">
      <c r="A275" s="9">
        <v>18018</v>
      </c>
      <c r="B275" s="9" t="s">
        <v>13</v>
      </c>
      <c r="C275" s="9" t="s">
        <v>24</v>
      </c>
      <c r="D275" s="23"/>
      <c r="E275" s="42"/>
      <c r="F275" s="43"/>
      <c r="G275" s="42"/>
      <c r="H275" s="43"/>
      <c r="I275" s="25" t="s">
        <v>13</v>
      </c>
      <c r="J275" s="34" t="str">
        <f>IF(E275="","",raw_data!C267)</f>
        <v/>
      </c>
      <c r="K275" s="46"/>
      <c r="L275" s="87"/>
      <c r="M275" s="19" t="str">
        <f>IF(E275="","",raw_data!F267)</f>
        <v/>
      </c>
      <c r="N275" s="20" t="str">
        <f t="shared" si="14"/>
        <v/>
      </c>
      <c r="O275" s="90"/>
      <c r="P275" s="91"/>
      <c r="Q275" s="91"/>
      <c r="R275" s="91"/>
      <c r="S275" s="41" t="str">
        <f t="shared" si="13"/>
        <v/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2.75" customHeight="1" x14ac:dyDescent="0.2">
      <c r="A276" s="9">
        <v>18019</v>
      </c>
      <c r="B276" s="9" t="s">
        <v>13</v>
      </c>
      <c r="C276" s="9" t="s">
        <v>25</v>
      </c>
      <c r="D276" s="23"/>
      <c r="E276" s="42"/>
      <c r="F276" s="43"/>
      <c r="G276" s="42"/>
      <c r="H276" s="43"/>
      <c r="I276" s="25" t="s">
        <v>13</v>
      </c>
      <c r="J276" s="34" t="str">
        <f>IF(E276="","",raw_data!C268)</f>
        <v/>
      </c>
      <c r="K276" s="46"/>
      <c r="L276" s="87"/>
      <c r="M276" s="19" t="str">
        <f>IF(E276="","",raw_data!F268)</f>
        <v/>
      </c>
      <c r="N276" s="20" t="str">
        <f t="shared" si="14"/>
        <v/>
      </c>
      <c r="O276" s="90"/>
      <c r="P276" s="91"/>
      <c r="Q276" s="91"/>
      <c r="R276" s="91"/>
      <c r="S276" s="41" t="str">
        <f t="shared" si="13"/>
        <v/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2.75" customHeight="1" x14ac:dyDescent="0.2">
      <c r="A277" s="9">
        <v>18020</v>
      </c>
      <c r="B277" s="9" t="s">
        <v>13</v>
      </c>
      <c r="C277" s="9" t="s">
        <v>26</v>
      </c>
      <c r="D277" s="23"/>
      <c r="E277" s="42"/>
      <c r="F277" s="43"/>
      <c r="G277" s="42"/>
      <c r="H277" s="43"/>
      <c r="I277" s="25" t="s">
        <v>13</v>
      </c>
      <c r="J277" s="34" t="str">
        <f>IF(E277="","",raw_data!C269)</f>
        <v/>
      </c>
      <c r="K277" s="46"/>
      <c r="L277" s="87"/>
      <c r="M277" s="19" t="str">
        <f>IF(E277="","",raw_data!F269)</f>
        <v/>
      </c>
      <c r="N277" s="20" t="str">
        <f t="shared" si="14"/>
        <v/>
      </c>
      <c r="O277" s="90"/>
      <c r="P277" s="91"/>
      <c r="Q277" s="91"/>
      <c r="R277" s="91"/>
      <c r="S277" s="41" t="str">
        <f t="shared" si="13"/>
        <v/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2.75" customHeight="1" x14ac:dyDescent="0.2">
      <c r="A278" s="9">
        <v>18021</v>
      </c>
      <c r="B278" s="9" t="s">
        <v>13</v>
      </c>
      <c r="C278" s="9" t="s">
        <v>27</v>
      </c>
      <c r="D278" s="23"/>
      <c r="E278" s="42"/>
      <c r="F278" s="43"/>
      <c r="G278" s="42"/>
      <c r="H278" s="43"/>
      <c r="I278" s="25" t="s">
        <v>13</v>
      </c>
      <c r="J278" s="34" t="str">
        <f>IF(E278="","",raw_data!C270)</f>
        <v/>
      </c>
      <c r="K278" s="46"/>
      <c r="L278" s="87"/>
      <c r="M278" s="19" t="str">
        <f>IF(E278="","",raw_data!F270)</f>
        <v/>
      </c>
      <c r="N278" s="20" t="str">
        <f t="shared" si="14"/>
        <v/>
      </c>
      <c r="O278" s="90"/>
      <c r="P278" s="91"/>
      <c r="Q278" s="91"/>
      <c r="R278" s="91"/>
      <c r="S278" s="41" t="str">
        <f t="shared" si="13"/>
        <v/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2.75" customHeight="1" x14ac:dyDescent="0.2">
      <c r="A279" s="9">
        <v>18022</v>
      </c>
      <c r="B279" s="9" t="s">
        <v>13</v>
      </c>
      <c r="C279" s="9" t="s">
        <v>228</v>
      </c>
      <c r="D279" s="23"/>
      <c r="E279" s="42">
        <v>1</v>
      </c>
      <c r="F279" s="43"/>
      <c r="G279" s="42" t="s">
        <v>155</v>
      </c>
      <c r="H279" s="43"/>
      <c r="I279" s="25" t="s">
        <v>13</v>
      </c>
      <c r="J279" s="34">
        <f>IF(E279="","",raw_data!C271)</f>
        <v>0</v>
      </c>
      <c r="K279" s="46"/>
      <c r="L279" s="87"/>
      <c r="M279" s="19">
        <f>IF(E279="","",raw_data!F271)</f>
        <v>0</v>
      </c>
      <c r="N279" s="20" t="str">
        <f t="shared" si="14"/>
        <v>-</v>
      </c>
      <c r="O279" s="90"/>
      <c r="P279" s="91"/>
      <c r="Q279" s="91"/>
      <c r="R279" s="91"/>
      <c r="S279" s="41" t="str">
        <f t="shared" si="13"/>
        <v>erfüllt</v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2.75" customHeight="1" x14ac:dyDescent="0.2">
      <c r="A280" s="9">
        <v>18023</v>
      </c>
      <c r="B280" s="9" t="s">
        <v>13</v>
      </c>
      <c r="C280" s="9" t="s">
        <v>28</v>
      </c>
      <c r="D280" s="23"/>
      <c r="E280" s="42"/>
      <c r="F280" s="43"/>
      <c r="G280" s="42"/>
      <c r="H280" s="43"/>
      <c r="I280" s="25" t="s">
        <v>13</v>
      </c>
      <c r="J280" s="34" t="str">
        <f>IF(E280="","",raw_data!C272)</f>
        <v/>
      </c>
      <c r="K280" s="46"/>
      <c r="L280" s="87"/>
      <c r="M280" s="19" t="str">
        <f>IF(E280="","",raw_data!F272)</f>
        <v/>
      </c>
      <c r="N280" s="20" t="str">
        <f t="shared" si="14"/>
        <v/>
      </c>
      <c r="O280" s="90"/>
      <c r="P280" s="91"/>
      <c r="Q280" s="91"/>
      <c r="R280" s="91"/>
      <c r="S280" s="41" t="str">
        <f t="shared" si="13"/>
        <v/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2.75" customHeight="1" x14ac:dyDescent="0.2">
      <c r="A281" s="9">
        <v>18024</v>
      </c>
      <c r="B281" s="9" t="s">
        <v>13</v>
      </c>
      <c r="C281" s="9" t="s">
        <v>229</v>
      </c>
      <c r="D281" s="23"/>
      <c r="E281" s="42"/>
      <c r="F281" s="43"/>
      <c r="G281" s="42"/>
      <c r="H281" s="43"/>
      <c r="I281" s="25" t="s">
        <v>13</v>
      </c>
      <c r="J281" s="34" t="str">
        <f>IF(E281="","",raw_data!C273)</f>
        <v/>
      </c>
      <c r="K281" s="46"/>
      <c r="L281" s="87"/>
      <c r="M281" s="19" t="str">
        <f>IF(E281="","",raw_data!F273)</f>
        <v/>
      </c>
      <c r="N281" s="20" t="str">
        <f t="shared" si="14"/>
        <v/>
      </c>
      <c r="O281" s="90"/>
      <c r="P281" s="91"/>
      <c r="Q281" s="91"/>
      <c r="R281" s="91"/>
      <c r="S281" s="41" t="str">
        <f t="shared" si="13"/>
        <v/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2.75" customHeight="1" x14ac:dyDescent="0.2">
      <c r="A282" s="9">
        <v>18025</v>
      </c>
      <c r="B282" s="9" t="s">
        <v>13</v>
      </c>
      <c r="C282" s="9" t="s">
        <v>230</v>
      </c>
      <c r="D282" s="23"/>
      <c r="E282" s="42"/>
      <c r="F282" s="43"/>
      <c r="G282" s="42"/>
      <c r="H282" s="43"/>
      <c r="I282" s="25" t="s">
        <v>13</v>
      </c>
      <c r="J282" s="34" t="str">
        <f>IF(E282="","",raw_data!C274)</f>
        <v/>
      </c>
      <c r="K282" s="46"/>
      <c r="L282" s="87"/>
      <c r="M282" s="19" t="str">
        <f>IF(E282="","",raw_data!F274)</f>
        <v/>
      </c>
      <c r="N282" s="20" t="str">
        <f t="shared" si="14"/>
        <v/>
      </c>
      <c r="O282" s="90"/>
      <c r="P282" s="91"/>
      <c r="Q282" s="91"/>
      <c r="R282" s="91"/>
      <c r="S282" s="41" t="str">
        <f t="shared" si="13"/>
        <v/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2.75" customHeight="1" x14ac:dyDescent="0.2">
      <c r="A283" s="9">
        <v>18026</v>
      </c>
      <c r="B283" s="9" t="s">
        <v>13</v>
      </c>
      <c r="C283" s="9" t="s">
        <v>231</v>
      </c>
      <c r="D283" s="23"/>
      <c r="E283" s="42"/>
      <c r="F283" s="43"/>
      <c r="G283" s="42"/>
      <c r="H283" s="43"/>
      <c r="I283" s="25" t="s">
        <v>13</v>
      </c>
      <c r="J283" s="34" t="str">
        <f>IF(E283="","",raw_data!C275)</f>
        <v/>
      </c>
      <c r="K283" s="46"/>
      <c r="L283" s="87"/>
      <c r="M283" s="19" t="str">
        <f>IF(E283="","",raw_data!F275)</f>
        <v/>
      </c>
      <c r="N283" s="20" t="str">
        <f t="shared" si="14"/>
        <v/>
      </c>
      <c r="O283" s="90"/>
      <c r="P283" s="91"/>
      <c r="Q283" s="91"/>
      <c r="R283" s="91"/>
      <c r="S283" s="41" t="str">
        <f t="shared" si="13"/>
        <v/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2.75" customHeight="1" x14ac:dyDescent="0.2">
      <c r="A284" s="9">
        <v>18027</v>
      </c>
      <c r="B284" s="9" t="s">
        <v>13</v>
      </c>
      <c r="C284" s="9" t="s">
        <v>232</v>
      </c>
      <c r="D284" s="23"/>
      <c r="E284" s="42"/>
      <c r="F284" s="43"/>
      <c r="G284" s="42"/>
      <c r="H284" s="43"/>
      <c r="I284" s="25" t="s">
        <v>13</v>
      </c>
      <c r="J284" s="34" t="str">
        <f>IF(E284="","",raw_data!C276)</f>
        <v/>
      </c>
      <c r="K284" s="46"/>
      <c r="L284" s="87"/>
      <c r="M284" s="19" t="str">
        <f>IF(E284="","",raw_data!F276)</f>
        <v/>
      </c>
      <c r="N284" s="20" t="str">
        <f t="shared" si="14"/>
        <v/>
      </c>
      <c r="O284" s="90"/>
      <c r="P284" s="91"/>
      <c r="Q284" s="91"/>
      <c r="R284" s="91"/>
      <c r="S284" s="41" t="str">
        <f t="shared" si="13"/>
        <v/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2.75" customHeight="1" x14ac:dyDescent="0.2">
      <c r="A285" s="9">
        <v>18028</v>
      </c>
      <c r="B285" s="9" t="s">
        <v>13</v>
      </c>
      <c r="C285" s="9" t="s">
        <v>233</v>
      </c>
      <c r="D285" s="23"/>
      <c r="E285" s="42"/>
      <c r="F285" s="43"/>
      <c r="G285" s="42"/>
      <c r="H285" s="43"/>
      <c r="I285" s="25" t="s">
        <v>13</v>
      </c>
      <c r="J285" s="34" t="str">
        <f>IF(E285="","",raw_data!C277)</f>
        <v/>
      </c>
      <c r="K285" s="46"/>
      <c r="L285" s="87"/>
      <c r="M285" s="19" t="str">
        <f>IF(E285="","",raw_data!F277)</f>
        <v/>
      </c>
      <c r="N285" s="20" t="str">
        <f t="shared" si="14"/>
        <v/>
      </c>
      <c r="O285" s="90"/>
      <c r="P285" s="91"/>
      <c r="Q285" s="91"/>
      <c r="R285" s="91"/>
      <c r="S285" s="41" t="str">
        <f t="shared" si="13"/>
        <v/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2.75" customHeight="1" x14ac:dyDescent="0.2">
      <c r="A286" s="9">
        <v>18029</v>
      </c>
      <c r="B286" s="9" t="s">
        <v>13</v>
      </c>
      <c r="C286" s="9" t="s">
        <v>234</v>
      </c>
      <c r="D286" s="23"/>
      <c r="E286" s="42"/>
      <c r="F286" s="43"/>
      <c r="G286" s="42"/>
      <c r="H286" s="43"/>
      <c r="I286" s="25" t="s">
        <v>13</v>
      </c>
      <c r="J286" s="34" t="str">
        <f>IF(E286="","",raw_data!C278)</f>
        <v/>
      </c>
      <c r="K286" s="46"/>
      <c r="L286" s="87"/>
      <c r="M286" s="19" t="str">
        <f>IF(E286="","",raw_data!F278)</f>
        <v/>
      </c>
      <c r="N286" s="20" t="str">
        <f t="shared" si="14"/>
        <v/>
      </c>
      <c r="O286" s="90"/>
      <c r="P286" s="91"/>
      <c r="Q286" s="91"/>
      <c r="R286" s="91"/>
      <c r="S286" s="41" t="str">
        <f t="shared" si="13"/>
        <v/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2.75" customHeight="1" x14ac:dyDescent="0.2">
      <c r="A287" s="9">
        <v>18030</v>
      </c>
      <c r="B287" s="9" t="s">
        <v>13</v>
      </c>
      <c r="C287" s="9" t="s">
        <v>235</v>
      </c>
      <c r="D287" s="23"/>
      <c r="E287" s="42"/>
      <c r="F287" s="43"/>
      <c r="G287" s="42"/>
      <c r="H287" s="43"/>
      <c r="I287" s="25" t="s">
        <v>13</v>
      </c>
      <c r="J287" s="34" t="str">
        <f>IF(E287="","",raw_data!C279)</f>
        <v/>
      </c>
      <c r="K287" s="46"/>
      <c r="L287" s="87"/>
      <c r="M287" s="19" t="str">
        <f>IF(E287="","",raw_data!F279)</f>
        <v/>
      </c>
      <c r="N287" s="20" t="str">
        <f t="shared" si="14"/>
        <v/>
      </c>
      <c r="O287" s="90"/>
      <c r="P287" s="91"/>
      <c r="Q287" s="91"/>
      <c r="R287" s="91"/>
      <c r="S287" s="41" t="str">
        <f t="shared" si="13"/>
        <v/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2.75" customHeight="1" x14ac:dyDescent="0.2">
      <c r="A288" s="9">
        <v>18031</v>
      </c>
      <c r="B288" s="9" t="s">
        <v>13</v>
      </c>
      <c r="C288" s="9" t="s">
        <v>236</v>
      </c>
      <c r="D288" s="23"/>
      <c r="E288" s="42"/>
      <c r="F288" s="43"/>
      <c r="G288" s="42"/>
      <c r="H288" s="43"/>
      <c r="I288" s="25" t="s">
        <v>13</v>
      </c>
      <c r="J288" s="34" t="str">
        <f>IF(E288="","",raw_data!C280)</f>
        <v/>
      </c>
      <c r="K288" s="46"/>
      <c r="L288" s="87"/>
      <c r="M288" s="19" t="str">
        <f>IF(E288="","",raw_data!F280)</f>
        <v/>
      </c>
      <c r="N288" s="20" t="str">
        <f t="shared" si="14"/>
        <v/>
      </c>
      <c r="O288" s="90"/>
      <c r="P288" s="91"/>
      <c r="Q288" s="91"/>
      <c r="R288" s="91"/>
      <c r="S288" s="41" t="str">
        <f t="shared" si="13"/>
        <v/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2.75" customHeight="1" x14ac:dyDescent="0.2">
      <c r="A289" s="9">
        <v>18032</v>
      </c>
      <c r="B289" s="9" t="s">
        <v>13</v>
      </c>
      <c r="C289" s="9" t="s">
        <v>9</v>
      </c>
      <c r="D289" s="23"/>
      <c r="E289" s="42">
        <v>1</v>
      </c>
      <c r="F289" s="43"/>
      <c r="G289" s="42" t="s">
        <v>155</v>
      </c>
      <c r="H289" s="43"/>
      <c r="I289" s="25" t="s">
        <v>13</v>
      </c>
      <c r="J289" s="34">
        <f>IF(E289="","",raw_data!C281)</f>
        <v>0</v>
      </c>
      <c r="K289" s="46"/>
      <c r="L289" s="87"/>
      <c r="M289" s="19">
        <f>IF(E289="","",raw_data!F281)</f>
        <v>0</v>
      </c>
      <c r="N289" s="20" t="str">
        <f t="shared" si="14"/>
        <v>-</v>
      </c>
      <c r="O289" s="90"/>
      <c r="P289" s="91"/>
      <c r="Q289" s="91"/>
      <c r="R289" s="91"/>
      <c r="S289" s="41" t="str">
        <f t="shared" si="13"/>
        <v>erfüllt</v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2.75" customHeight="1" x14ac:dyDescent="0.2">
      <c r="A290" s="9">
        <v>18033</v>
      </c>
      <c r="B290" s="9" t="s">
        <v>13</v>
      </c>
      <c r="C290" s="9" t="s">
        <v>29</v>
      </c>
      <c r="D290" s="23"/>
      <c r="E290" s="42">
        <v>1</v>
      </c>
      <c r="F290" s="43"/>
      <c r="G290" s="42" t="s">
        <v>155</v>
      </c>
      <c r="H290" s="43"/>
      <c r="I290" s="25" t="s">
        <v>13</v>
      </c>
      <c r="J290" s="34">
        <f>IF(E290="","",raw_data!C282)</f>
        <v>0</v>
      </c>
      <c r="K290" s="46"/>
      <c r="L290" s="87"/>
      <c r="M290" s="19">
        <f>IF(E290="","",raw_data!F282)</f>
        <v>0</v>
      </c>
      <c r="N290" s="20" t="str">
        <f t="shared" si="14"/>
        <v>-</v>
      </c>
      <c r="O290" s="90"/>
      <c r="P290" s="91"/>
      <c r="Q290" s="91"/>
      <c r="R290" s="91"/>
      <c r="S290" s="41" t="str">
        <f t="shared" si="13"/>
        <v>erfüllt</v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2.75" customHeight="1" x14ac:dyDescent="0.2">
      <c r="A291" s="9">
        <v>18034</v>
      </c>
      <c r="B291" s="9" t="s">
        <v>13</v>
      </c>
      <c r="C291" s="9" t="s">
        <v>337</v>
      </c>
      <c r="D291" s="23"/>
      <c r="E291" s="42"/>
      <c r="F291" s="43"/>
      <c r="G291" s="42"/>
      <c r="H291" s="43"/>
      <c r="I291" s="25" t="s">
        <v>13</v>
      </c>
      <c r="J291" s="34" t="str">
        <f>IF(E291="","",raw_data!C283)</f>
        <v/>
      </c>
      <c r="K291" s="46"/>
      <c r="L291" s="87"/>
      <c r="M291" s="19" t="str">
        <f>IF(E291="","",raw_data!F283)</f>
        <v/>
      </c>
      <c r="N291" s="20" t="str">
        <f t="shared" si="14"/>
        <v/>
      </c>
      <c r="O291" s="90"/>
      <c r="P291" s="91"/>
      <c r="Q291" s="91"/>
      <c r="R291" s="91"/>
      <c r="S291" s="41" t="str">
        <f t="shared" si="13"/>
        <v/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2.75" customHeight="1" x14ac:dyDescent="0.2">
      <c r="A292" s="9">
        <v>18035</v>
      </c>
      <c r="B292" s="9" t="s">
        <v>13</v>
      </c>
      <c r="C292" s="9" t="s">
        <v>338</v>
      </c>
      <c r="D292" s="23"/>
      <c r="E292" s="42"/>
      <c r="F292" s="43"/>
      <c r="G292" s="42"/>
      <c r="H292" s="43"/>
      <c r="I292" s="25" t="s">
        <v>13</v>
      </c>
      <c r="J292" s="34" t="str">
        <f>IF(E292="","",raw_data!C284)</f>
        <v/>
      </c>
      <c r="K292" s="46"/>
      <c r="L292" s="87"/>
      <c r="M292" s="19" t="str">
        <f>IF(E292="","",raw_data!F284)</f>
        <v/>
      </c>
      <c r="N292" s="20" t="str">
        <f t="shared" si="14"/>
        <v/>
      </c>
      <c r="O292" s="90"/>
      <c r="P292" s="91"/>
      <c r="Q292" s="91"/>
      <c r="R292" s="91"/>
      <c r="S292" s="41" t="str">
        <f t="shared" si="13"/>
        <v/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2.75" customHeight="1" x14ac:dyDescent="0.2">
      <c r="A293" s="9">
        <v>18036</v>
      </c>
      <c r="B293" s="9" t="s">
        <v>13</v>
      </c>
      <c r="C293" s="9" t="s">
        <v>339</v>
      </c>
      <c r="D293" s="23"/>
      <c r="E293" s="42"/>
      <c r="F293" s="43"/>
      <c r="G293" s="42"/>
      <c r="H293" s="43"/>
      <c r="I293" s="25" t="s">
        <v>13</v>
      </c>
      <c r="J293" s="34" t="str">
        <f>IF(E293="","",raw_data!C285)</f>
        <v/>
      </c>
      <c r="K293" s="46"/>
      <c r="L293" s="87"/>
      <c r="M293" s="19" t="str">
        <f>IF(E293="","",raw_data!F285)</f>
        <v/>
      </c>
      <c r="N293" s="20" t="str">
        <f t="shared" si="14"/>
        <v/>
      </c>
      <c r="O293" s="90"/>
      <c r="P293" s="91"/>
      <c r="Q293" s="91"/>
      <c r="R293" s="91"/>
      <c r="S293" s="41" t="str">
        <f t="shared" si="13"/>
        <v/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2.75" customHeight="1" x14ac:dyDescent="0.2">
      <c r="A294" s="9">
        <v>18037</v>
      </c>
      <c r="B294" s="9" t="s">
        <v>13</v>
      </c>
      <c r="C294" s="9" t="s">
        <v>340</v>
      </c>
      <c r="D294" s="23"/>
      <c r="E294" s="42"/>
      <c r="F294" s="43"/>
      <c r="G294" s="42"/>
      <c r="H294" s="43"/>
      <c r="I294" s="25" t="s">
        <v>13</v>
      </c>
      <c r="J294" s="34" t="str">
        <f>IF(E294="","",raw_data!C286)</f>
        <v/>
      </c>
      <c r="K294" s="46"/>
      <c r="L294" s="87"/>
      <c r="M294" s="19" t="str">
        <f>IF(E294="","",raw_data!F286)</f>
        <v/>
      </c>
      <c r="N294" s="20" t="str">
        <f t="shared" si="14"/>
        <v/>
      </c>
      <c r="O294" s="90"/>
      <c r="P294" s="91"/>
      <c r="Q294" s="91"/>
      <c r="R294" s="91"/>
      <c r="S294" s="41" t="str">
        <f t="shared" si="13"/>
        <v/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2.75" customHeight="1" x14ac:dyDescent="0.2">
      <c r="A295" s="9">
        <v>18038</v>
      </c>
      <c r="B295" s="9" t="s">
        <v>13</v>
      </c>
      <c r="C295" s="9" t="s">
        <v>341</v>
      </c>
      <c r="D295" s="23"/>
      <c r="E295" s="42"/>
      <c r="F295" s="43"/>
      <c r="G295" s="42"/>
      <c r="H295" s="43"/>
      <c r="I295" s="25" t="s">
        <v>13</v>
      </c>
      <c r="J295" s="34" t="str">
        <f>IF(E295="","",raw_data!C287)</f>
        <v/>
      </c>
      <c r="K295" s="46"/>
      <c r="L295" s="87"/>
      <c r="M295" s="19" t="str">
        <f>IF(E295="","",raw_data!F287)</f>
        <v/>
      </c>
      <c r="N295" s="20" t="str">
        <f t="shared" si="14"/>
        <v/>
      </c>
      <c r="O295" s="90"/>
      <c r="P295" s="91"/>
      <c r="Q295" s="91"/>
      <c r="R295" s="91"/>
      <c r="S295" s="41" t="str">
        <f t="shared" si="13"/>
        <v/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2.75" customHeight="1" x14ac:dyDescent="0.2">
      <c r="A296" s="9">
        <v>18039</v>
      </c>
      <c r="B296" s="9" t="s">
        <v>13</v>
      </c>
      <c r="C296" s="9" t="s">
        <v>342</v>
      </c>
      <c r="D296" s="23"/>
      <c r="E296" s="42"/>
      <c r="F296" s="43"/>
      <c r="G296" s="42"/>
      <c r="H296" s="43"/>
      <c r="I296" s="25" t="s">
        <v>13</v>
      </c>
      <c r="J296" s="34" t="str">
        <f>IF(E296="","",raw_data!C288)</f>
        <v/>
      </c>
      <c r="K296" s="46"/>
      <c r="L296" s="87"/>
      <c r="M296" s="19" t="str">
        <f>IF(E296="","",raw_data!F288)</f>
        <v/>
      </c>
      <c r="N296" s="20" t="str">
        <f t="shared" si="14"/>
        <v/>
      </c>
      <c r="O296" s="90"/>
      <c r="P296" s="91"/>
      <c r="Q296" s="91"/>
      <c r="R296" s="91"/>
      <c r="S296" s="41" t="str">
        <f t="shared" si="13"/>
        <v/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2.75" customHeight="1" x14ac:dyDescent="0.2">
      <c r="A297" s="9">
        <v>18040</v>
      </c>
      <c r="B297" s="9" t="s">
        <v>13</v>
      </c>
      <c r="C297" s="9" t="s">
        <v>343</v>
      </c>
      <c r="D297" s="23"/>
      <c r="E297" s="42"/>
      <c r="F297" s="43"/>
      <c r="G297" s="42"/>
      <c r="H297" s="43"/>
      <c r="I297" s="25" t="s">
        <v>13</v>
      </c>
      <c r="J297" s="34" t="str">
        <f>IF(E297="","",raw_data!C289)</f>
        <v/>
      </c>
      <c r="K297" s="46"/>
      <c r="L297" s="87"/>
      <c r="M297" s="19" t="str">
        <f>IF(E297="","",raw_data!F289)</f>
        <v/>
      </c>
      <c r="N297" s="20" t="str">
        <f t="shared" si="14"/>
        <v/>
      </c>
      <c r="O297" s="90"/>
      <c r="P297" s="91"/>
      <c r="Q297" s="91"/>
      <c r="R297" s="91"/>
      <c r="S297" s="41" t="str">
        <f t="shared" si="13"/>
        <v/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2.75" customHeight="1" x14ac:dyDescent="0.2">
      <c r="A298" s="9">
        <v>18041</v>
      </c>
      <c r="B298" s="9" t="s">
        <v>13</v>
      </c>
      <c r="C298" s="9" t="s">
        <v>344</v>
      </c>
      <c r="D298" s="23"/>
      <c r="E298" s="42"/>
      <c r="F298" s="43"/>
      <c r="G298" s="42"/>
      <c r="H298" s="43"/>
      <c r="I298" s="25" t="s">
        <v>13</v>
      </c>
      <c r="J298" s="34" t="str">
        <f>IF(E298="","",raw_data!C290)</f>
        <v/>
      </c>
      <c r="K298" s="46"/>
      <c r="L298" s="87"/>
      <c r="M298" s="19" t="str">
        <f>IF(E298="","",raw_data!F290)</f>
        <v/>
      </c>
      <c r="N298" s="20" t="str">
        <f t="shared" si="14"/>
        <v/>
      </c>
      <c r="O298" s="90"/>
      <c r="P298" s="91"/>
      <c r="Q298" s="91"/>
      <c r="R298" s="91"/>
      <c r="S298" s="41" t="str">
        <f t="shared" si="13"/>
        <v/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2.75" customHeight="1" x14ac:dyDescent="0.2">
      <c r="A299" s="9">
        <v>18042</v>
      </c>
      <c r="B299" s="9" t="s">
        <v>13</v>
      </c>
      <c r="C299" s="9" t="s">
        <v>345</v>
      </c>
      <c r="D299" s="23"/>
      <c r="E299" s="42"/>
      <c r="F299" s="43"/>
      <c r="G299" s="42"/>
      <c r="H299" s="43"/>
      <c r="I299" s="25" t="s">
        <v>13</v>
      </c>
      <c r="J299" s="34" t="str">
        <f>IF(E299="","",raw_data!C291)</f>
        <v/>
      </c>
      <c r="K299" s="46"/>
      <c r="L299" s="87"/>
      <c r="M299" s="19" t="str">
        <f>IF(E299="","",raw_data!F291)</f>
        <v/>
      </c>
      <c r="N299" s="20" t="str">
        <f t="shared" si="14"/>
        <v/>
      </c>
      <c r="O299" s="90"/>
      <c r="P299" s="91"/>
      <c r="Q299" s="91"/>
      <c r="R299" s="91"/>
      <c r="S299" s="41" t="str">
        <f t="shared" si="13"/>
        <v/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2.75" customHeight="1" x14ac:dyDescent="0.2">
      <c r="A300" s="9">
        <v>18043</v>
      </c>
      <c r="B300" s="9" t="s">
        <v>13</v>
      </c>
      <c r="C300" s="9" t="s">
        <v>237</v>
      </c>
      <c r="D300" s="23"/>
      <c r="E300" s="42"/>
      <c r="F300" s="43"/>
      <c r="G300" s="42"/>
      <c r="H300" s="43"/>
      <c r="I300" s="25" t="s">
        <v>13</v>
      </c>
      <c r="J300" s="34" t="str">
        <f>IF(E300="","",raw_data!C292)</f>
        <v/>
      </c>
      <c r="K300" s="46"/>
      <c r="L300" s="87"/>
      <c r="M300" s="19" t="str">
        <f>IF(E300="","",raw_data!F292)</f>
        <v/>
      </c>
      <c r="N300" s="20" t="str">
        <f t="shared" si="14"/>
        <v/>
      </c>
      <c r="O300" s="90"/>
      <c r="P300" s="91"/>
      <c r="Q300" s="91"/>
      <c r="R300" s="91"/>
      <c r="S300" s="41" t="str">
        <f t="shared" si="13"/>
        <v/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2.75" customHeight="1" x14ac:dyDescent="0.2">
      <c r="A301" s="9">
        <v>18044</v>
      </c>
      <c r="B301" s="9" t="s">
        <v>13</v>
      </c>
      <c r="C301" s="9" t="s">
        <v>238</v>
      </c>
      <c r="D301" s="23"/>
      <c r="E301" s="42"/>
      <c r="F301" s="43"/>
      <c r="G301" s="42"/>
      <c r="H301" s="43"/>
      <c r="I301" s="25" t="s">
        <v>13</v>
      </c>
      <c r="J301" s="34" t="str">
        <f>IF(E301="","",raw_data!C293)</f>
        <v/>
      </c>
      <c r="K301" s="46"/>
      <c r="L301" s="87"/>
      <c r="M301" s="19" t="str">
        <f>IF(E301="","",raw_data!F293)</f>
        <v/>
      </c>
      <c r="N301" s="20" t="str">
        <f t="shared" si="14"/>
        <v/>
      </c>
      <c r="O301" s="90"/>
      <c r="P301" s="91"/>
      <c r="Q301" s="91"/>
      <c r="R301" s="91"/>
      <c r="S301" s="41" t="str">
        <f t="shared" si="13"/>
        <v/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2.75" customHeight="1" x14ac:dyDescent="0.2">
      <c r="A302" s="9">
        <v>18045</v>
      </c>
      <c r="B302" s="9" t="s">
        <v>13</v>
      </c>
      <c r="C302" s="9" t="s">
        <v>239</v>
      </c>
      <c r="D302" s="23"/>
      <c r="E302" s="42"/>
      <c r="F302" s="43"/>
      <c r="G302" s="42"/>
      <c r="H302" s="43"/>
      <c r="I302" s="25" t="s">
        <v>13</v>
      </c>
      <c r="J302" s="34" t="str">
        <f>IF(E302="","",raw_data!C294)</f>
        <v/>
      </c>
      <c r="K302" s="46"/>
      <c r="L302" s="87"/>
      <c r="M302" s="19" t="str">
        <f>IF(E302="","",raw_data!F294)</f>
        <v/>
      </c>
      <c r="N302" s="20" t="str">
        <f t="shared" si="14"/>
        <v/>
      </c>
      <c r="O302" s="90"/>
      <c r="P302" s="91"/>
      <c r="Q302" s="91"/>
      <c r="R302" s="91"/>
      <c r="S302" s="41" t="str">
        <f t="shared" si="13"/>
        <v/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2.75" customHeight="1" x14ac:dyDescent="0.2">
      <c r="A303" s="9">
        <v>19001</v>
      </c>
      <c r="B303" s="9" t="s">
        <v>158</v>
      </c>
      <c r="C303" s="9" t="s">
        <v>77</v>
      </c>
      <c r="D303" s="23"/>
      <c r="E303" s="42"/>
      <c r="F303" s="43"/>
      <c r="G303" s="42"/>
      <c r="H303" s="43"/>
      <c r="I303" s="25" t="s">
        <v>15</v>
      </c>
      <c r="J303" s="34" t="str">
        <f>IF(E303="","",raw_data!C295)</f>
        <v/>
      </c>
      <c r="K303" s="46"/>
      <c r="L303" s="87"/>
      <c r="M303" s="19" t="str">
        <f>IF(E303="","",raw_data!F295)</f>
        <v/>
      </c>
      <c r="N303" s="20" t="str">
        <f t="shared" si="14"/>
        <v/>
      </c>
      <c r="O303" s="90"/>
      <c r="P303" s="91"/>
      <c r="Q303" s="91"/>
      <c r="R303" s="91"/>
      <c r="S303" s="41" t="str">
        <f t="shared" si="13"/>
        <v/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2.75" customHeight="1" x14ac:dyDescent="0.2">
      <c r="A304" s="9">
        <v>19002</v>
      </c>
      <c r="B304" s="9" t="s">
        <v>158</v>
      </c>
      <c r="C304" s="9" t="s">
        <v>19</v>
      </c>
      <c r="D304" s="23"/>
      <c r="E304" s="42"/>
      <c r="F304" s="43"/>
      <c r="G304" s="42"/>
      <c r="H304" s="43"/>
      <c r="I304" s="25" t="s">
        <v>15</v>
      </c>
      <c r="J304" s="34" t="str">
        <f>IF(E304="","",raw_data!C296)</f>
        <v/>
      </c>
      <c r="K304" s="46"/>
      <c r="L304" s="87"/>
      <c r="M304" s="19" t="str">
        <f>IF(E304="","",raw_data!F296)</f>
        <v/>
      </c>
      <c r="N304" s="20" t="str">
        <f t="shared" si="14"/>
        <v/>
      </c>
      <c r="O304" s="90"/>
      <c r="P304" s="91"/>
      <c r="Q304" s="91"/>
      <c r="R304" s="91"/>
      <c r="S304" s="41" t="str">
        <f t="shared" si="13"/>
        <v/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2.75" customHeight="1" x14ac:dyDescent="0.2">
      <c r="A305" s="9">
        <v>19003</v>
      </c>
      <c r="B305" s="9" t="s">
        <v>158</v>
      </c>
      <c r="C305" s="9" t="s">
        <v>240</v>
      </c>
      <c r="D305" s="23"/>
      <c r="E305" s="42">
        <v>1</v>
      </c>
      <c r="F305" s="43"/>
      <c r="G305" s="42" t="s">
        <v>155</v>
      </c>
      <c r="H305" s="43"/>
      <c r="I305" s="25" t="s">
        <v>15</v>
      </c>
      <c r="J305" s="34">
        <f>IF(E305="","",raw_data!C297)</f>
        <v>0</v>
      </c>
      <c r="K305" s="46"/>
      <c r="L305" s="87"/>
      <c r="M305" s="19">
        <f>IF(E305="","",raw_data!F297)</f>
        <v>0</v>
      </c>
      <c r="N305" s="20" t="str">
        <f t="shared" si="14"/>
        <v>-</v>
      </c>
      <c r="O305" s="90"/>
      <c r="P305" s="91"/>
      <c r="Q305" s="91"/>
      <c r="R305" s="91"/>
      <c r="S305" s="41" t="str">
        <f t="shared" si="13"/>
        <v>erfüllt</v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2.75" customHeight="1" x14ac:dyDescent="0.2">
      <c r="A306" s="9">
        <v>19004</v>
      </c>
      <c r="B306" s="9" t="s">
        <v>158</v>
      </c>
      <c r="C306" s="9" t="s">
        <v>160</v>
      </c>
      <c r="D306" s="23"/>
      <c r="E306" s="42"/>
      <c r="F306" s="43"/>
      <c r="G306" s="42"/>
      <c r="H306" s="43"/>
      <c r="I306" s="25" t="s">
        <v>15</v>
      </c>
      <c r="J306" s="34" t="str">
        <f>IF(E306="","",raw_data!C298)</f>
        <v/>
      </c>
      <c r="K306" s="46"/>
      <c r="L306" s="87"/>
      <c r="M306" s="19" t="str">
        <f>IF(E306="","",raw_data!F298)</f>
        <v/>
      </c>
      <c r="N306" s="20" t="str">
        <f t="shared" si="14"/>
        <v/>
      </c>
      <c r="O306" s="90"/>
      <c r="P306" s="91"/>
      <c r="Q306" s="91"/>
      <c r="R306" s="91"/>
      <c r="S306" s="41" t="str">
        <f t="shared" si="13"/>
        <v/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2.75" customHeight="1" x14ac:dyDescent="0.2">
      <c r="A307" s="9">
        <v>19005</v>
      </c>
      <c r="B307" s="9" t="s">
        <v>158</v>
      </c>
      <c r="C307" s="9" t="s">
        <v>161</v>
      </c>
      <c r="D307" s="23"/>
      <c r="E307" s="42"/>
      <c r="F307" s="43"/>
      <c r="G307" s="42"/>
      <c r="H307" s="43"/>
      <c r="I307" s="25" t="s">
        <v>15</v>
      </c>
      <c r="J307" s="34" t="str">
        <f>IF(E307="","",raw_data!C299)</f>
        <v/>
      </c>
      <c r="K307" s="46"/>
      <c r="L307" s="87"/>
      <c r="M307" s="19" t="str">
        <f>IF(E307="","",raw_data!F299)</f>
        <v/>
      </c>
      <c r="N307" s="20" t="str">
        <f t="shared" si="14"/>
        <v/>
      </c>
      <c r="O307" s="90"/>
      <c r="P307" s="91"/>
      <c r="Q307" s="91"/>
      <c r="R307" s="91"/>
      <c r="S307" s="41" t="str">
        <f t="shared" si="13"/>
        <v/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2.75" customHeight="1" x14ac:dyDescent="0.2">
      <c r="A308" s="9">
        <v>19006</v>
      </c>
      <c r="B308" s="9" t="s">
        <v>158</v>
      </c>
      <c r="C308" s="9" t="s">
        <v>346</v>
      </c>
      <c r="D308" s="23"/>
      <c r="E308" s="42"/>
      <c r="F308" s="43"/>
      <c r="G308" s="42"/>
      <c r="H308" s="43"/>
      <c r="I308" s="25" t="s">
        <v>15</v>
      </c>
      <c r="J308" s="34" t="str">
        <f>IF(E308="","",raw_data!C300)</f>
        <v/>
      </c>
      <c r="K308" s="46"/>
      <c r="L308" s="87"/>
      <c r="M308" s="19" t="str">
        <f>IF(E308="","",raw_data!F300)</f>
        <v/>
      </c>
      <c r="N308" s="20" t="str">
        <f t="shared" si="14"/>
        <v/>
      </c>
      <c r="O308" s="90"/>
      <c r="P308" s="91"/>
      <c r="Q308" s="91"/>
      <c r="R308" s="91"/>
      <c r="S308" s="41" t="str">
        <f t="shared" si="13"/>
        <v/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2.75" customHeight="1" x14ac:dyDescent="0.2">
      <c r="A309" s="9">
        <v>19007</v>
      </c>
      <c r="B309" s="9" t="s">
        <v>158</v>
      </c>
      <c r="C309" s="9" t="s">
        <v>347</v>
      </c>
      <c r="D309" s="23"/>
      <c r="E309" s="42"/>
      <c r="F309" s="43"/>
      <c r="G309" s="42"/>
      <c r="H309" s="43"/>
      <c r="I309" s="25" t="s">
        <v>15</v>
      </c>
      <c r="J309" s="34" t="str">
        <f>IF(E309="","",raw_data!C301)</f>
        <v/>
      </c>
      <c r="K309" s="46"/>
      <c r="L309" s="87"/>
      <c r="M309" s="19" t="str">
        <f>IF(E309="","",raw_data!F301)</f>
        <v/>
      </c>
      <c r="N309" s="20" t="str">
        <f t="shared" si="14"/>
        <v/>
      </c>
      <c r="O309" s="90"/>
      <c r="P309" s="91"/>
      <c r="Q309" s="91"/>
      <c r="R309" s="91"/>
      <c r="S309" s="41" t="str">
        <f t="shared" si="13"/>
        <v/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2.75" customHeight="1" x14ac:dyDescent="0.2">
      <c r="A310" s="9">
        <v>19008</v>
      </c>
      <c r="B310" s="9" t="s">
        <v>158</v>
      </c>
      <c r="C310" s="9" t="s">
        <v>348</v>
      </c>
      <c r="D310" s="23"/>
      <c r="E310" s="42"/>
      <c r="F310" s="43"/>
      <c r="G310" s="42"/>
      <c r="H310" s="43"/>
      <c r="I310" s="25" t="s">
        <v>15</v>
      </c>
      <c r="J310" s="34" t="str">
        <f>IF(E310="","",raw_data!C302)</f>
        <v/>
      </c>
      <c r="K310" s="46"/>
      <c r="L310" s="87"/>
      <c r="M310" s="19" t="str">
        <f>IF(E310="","",raw_data!F302)</f>
        <v/>
      </c>
      <c r="N310" s="20" t="str">
        <f t="shared" si="14"/>
        <v/>
      </c>
      <c r="O310" s="90"/>
      <c r="P310" s="91"/>
      <c r="Q310" s="91"/>
      <c r="R310" s="91"/>
      <c r="S310" s="41" t="str">
        <f t="shared" si="13"/>
        <v/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2.75" customHeight="1" x14ac:dyDescent="0.2">
      <c r="A311" s="9">
        <v>19009</v>
      </c>
      <c r="B311" s="9" t="s">
        <v>158</v>
      </c>
      <c r="C311" s="9" t="s">
        <v>349</v>
      </c>
      <c r="D311" s="23"/>
      <c r="E311" s="42"/>
      <c r="F311" s="43"/>
      <c r="G311" s="42"/>
      <c r="H311" s="43"/>
      <c r="I311" s="25" t="s">
        <v>15</v>
      </c>
      <c r="J311" s="34" t="str">
        <f>IF(E311="","",raw_data!C303)</f>
        <v/>
      </c>
      <c r="K311" s="46"/>
      <c r="L311" s="87"/>
      <c r="M311" s="19" t="str">
        <f>IF(E311="","",raw_data!F303)</f>
        <v/>
      </c>
      <c r="N311" s="20" t="str">
        <f t="shared" si="14"/>
        <v/>
      </c>
      <c r="O311" s="90"/>
      <c r="P311" s="91"/>
      <c r="Q311" s="91"/>
      <c r="R311" s="91"/>
      <c r="S311" s="41" t="str">
        <f t="shared" si="13"/>
        <v/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2.75" customHeight="1" x14ac:dyDescent="0.2">
      <c r="A312" s="9">
        <v>19010</v>
      </c>
      <c r="B312" s="9" t="s">
        <v>158</v>
      </c>
      <c r="C312" s="9" t="s">
        <v>350</v>
      </c>
      <c r="D312" s="23"/>
      <c r="E312" s="42"/>
      <c r="F312" s="43"/>
      <c r="G312" s="42"/>
      <c r="H312" s="43"/>
      <c r="I312" s="25" t="s">
        <v>15</v>
      </c>
      <c r="J312" s="34" t="str">
        <f>IF(E312="","",raw_data!C304)</f>
        <v/>
      </c>
      <c r="K312" s="46"/>
      <c r="L312" s="87"/>
      <c r="M312" s="19" t="str">
        <f>IF(E312="","",raw_data!F304)</f>
        <v/>
      </c>
      <c r="N312" s="20" t="str">
        <f t="shared" si="14"/>
        <v/>
      </c>
      <c r="O312" s="90"/>
      <c r="P312" s="91"/>
      <c r="Q312" s="91"/>
      <c r="R312" s="91"/>
      <c r="S312" s="41" t="str">
        <f t="shared" si="13"/>
        <v/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2.75" customHeight="1" x14ac:dyDescent="0.2">
      <c r="A313" s="9">
        <v>19011</v>
      </c>
      <c r="B313" s="9" t="s">
        <v>158</v>
      </c>
      <c r="C313" s="9" t="s">
        <v>351</v>
      </c>
      <c r="D313" s="23"/>
      <c r="E313" s="42"/>
      <c r="F313" s="43"/>
      <c r="G313" s="42"/>
      <c r="H313" s="43"/>
      <c r="I313" s="25" t="s">
        <v>15</v>
      </c>
      <c r="J313" s="34" t="str">
        <f>IF(E313="","",raw_data!C305)</f>
        <v/>
      </c>
      <c r="K313" s="46"/>
      <c r="L313" s="87"/>
      <c r="M313" s="19" t="str">
        <f>IF(E313="","",raw_data!F305)</f>
        <v/>
      </c>
      <c r="N313" s="20" t="str">
        <f t="shared" si="14"/>
        <v/>
      </c>
      <c r="O313" s="90"/>
      <c r="P313" s="91"/>
      <c r="Q313" s="91"/>
      <c r="R313" s="91"/>
      <c r="S313" s="41" t="str">
        <f t="shared" si="13"/>
        <v/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2.75" customHeight="1" x14ac:dyDescent="0.2">
      <c r="A314" s="9">
        <v>19012</v>
      </c>
      <c r="B314" s="9" t="s">
        <v>158</v>
      </c>
      <c r="C314" s="9" t="s">
        <v>352</v>
      </c>
      <c r="D314" s="23"/>
      <c r="E314" s="42"/>
      <c r="F314" s="43"/>
      <c r="G314" s="42"/>
      <c r="H314" s="43"/>
      <c r="I314" s="25" t="s">
        <v>15</v>
      </c>
      <c r="J314" s="34" t="str">
        <f>IF(E314="","",raw_data!C306)</f>
        <v/>
      </c>
      <c r="K314" s="46"/>
      <c r="L314" s="87"/>
      <c r="M314" s="19" t="str">
        <f>IF(E314="","",raw_data!F306)</f>
        <v/>
      </c>
      <c r="N314" s="20" t="str">
        <f t="shared" si="14"/>
        <v/>
      </c>
      <c r="O314" s="90"/>
      <c r="P314" s="91"/>
      <c r="Q314" s="91"/>
      <c r="R314" s="91"/>
      <c r="S314" s="41" t="str">
        <f t="shared" si="13"/>
        <v/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2.75" customHeight="1" x14ac:dyDescent="0.2">
      <c r="A315" s="9">
        <v>19013</v>
      </c>
      <c r="B315" s="9" t="s">
        <v>158</v>
      </c>
      <c r="C315" s="9" t="s">
        <v>353</v>
      </c>
      <c r="D315" s="23"/>
      <c r="E315" s="42"/>
      <c r="F315" s="43"/>
      <c r="G315" s="42"/>
      <c r="H315" s="43"/>
      <c r="I315" s="25" t="s">
        <v>15</v>
      </c>
      <c r="J315" s="34" t="str">
        <f>IF(E315="","",raw_data!C307)</f>
        <v/>
      </c>
      <c r="K315" s="46"/>
      <c r="L315" s="87"/>
      <c r="M315" s="19" t="str">
        <f>IF(E315="","",raw_data!F307)</f>
        <v/>
      </c>
      <c r="N315" s="20" t="str">
        <f t="shared" si="14"/>
        <v/>
      </c>
      <c r="O315" s="90"/>
      <c r="P315" s="91"/>
      <c r="Q315" s="91"/>
      <c r="R315" s="91"/>
      <c r="S315" s="41" t="str">
        <f t="shared" si="13"/>
        <v/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2.75" customHeight="1" x14ac:dyDescent="0.2">
      <c r="A316" s="9">
        <v>19014</v>
      </c>
      <c r="B316" s="9" t="s">
        <v>158</v>
      </c>
      <c r="C316" s="9" t="s">
        <v>354</v>
      </c>
      <c r="D316" s="23"/>
      <c r="E316" s="42"/>
      <c r="F316" s="43"/>
      <c r="G316" s="42"/>
      <c r="H316" s="43"/>
      <c r="I316" s="25" t="s">
        <v>15</v>
      </c>
      <c r="J316" s="34" t="str">
        <f>IF(E316="","",raw_data!C308)</f>
        <v/>
      </c>
      <c r="K316" s="46"/>
      <c r="L316" s="87"/>
      <c r="M316" s="19" t="str">
        <f>IF(E316="","",raw_data!F308)</f>
        <v/>
      </c>
      <c r="N316" s="20" t="str">
        <f t="shared" si="14"/>
        <v/>
      </c>
      <c r="O316" s="90"/>
      <c r="P316" s="91"/>
      <c r="Q316" s="91"/>
      <c r="R316" s="91"/>
      <c r="S316" s="41" t="str">
        <f t="shared" si="13"/>
        <v/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2.75" customHeight="1" x14ac:dyDescent="0.2">
      <c r="A317" s="9">
        <v>19015</v>
      </c>
      <c r="B317" s="9" t="s">
        <v>158</v>
      </c>
      <c r="C317" s="9" t="s">
        <v>78</v>
      </c>
      <c r="D317" s="23"/>
      <c r="E317" s="42"/>
      <c r="F317" s="43"/>
      <c r="G317" s="42"/>
      <c r="H317" s="43"/>
      <c r="I317" s="25" t="s">
        <v>15</v>
      </c>
      <c r="J317" s="34" t="str">
        <f>IF(E317="","",raw_data!C309)</f>
        <v/>
      </c>
      <c r="K317" s="46"/>
      <c r="L317" s="87"/>
      <c r="M317" s="19" t="str">
        <f>IF(E317="","",raw_data!F309)</f>
        <v/>
      </c>
      <c r="N317" s="20" t="str">
        <f t="shared" si="14"/>
        <v/>
      </c>
      <c r="O317" s="90"/>
      <c r="P317" s="91"/>
      <c r="Q317" s="91"/>
      <c r="R317" s="91"/>
      <c r="S317" s="41" t="str">
        <f t="shared" si="13"/>
        <v/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2.75" customHeight="1" x14ac:dyDescent="0.2">
      <c r="A318" s="9">
        <v>19016</v>
      </c>
      <c r="B318" s="9" t="s">
        <v>158</v>
      </c>
      <c r="C318" s="9" t="s">
        <v>162</v>
      </c>
      <c r="D318" s="23"/>
      <c r="E318" s="42"/>
      <c r="F318" s="43"/>
      <c r="G318" s="42"/>
      <c r="H318" s="43"/>
      <c r="I318" s="25" t="s">
        <v>15</v>
      </c>
      <c r="J318" s="34" t="str">
        <f>IF(E318="","",raw_data!C310)</f>
        <v/>
      </c>
      <c r="K318" s="46"/>
      <c r="L318" s="87"/>
      <c r="M318" s="19" t="str">
        <f>IF(E318="","",raw_data!F310)</f>
        <v/>
      </c>
      <c r="N318" s="20" t="str">
        <f t="shared" si="14"/>
        <v/>
      </c>
      <c r="O318" s="90"/>
      <c r="P318" s="91"/>
      <c r="Q318" s="91"/>
      <c r="R318" s="91"/>
      <c r="S318" s="41" t="str">
        <f t="shared" si="13"/>
        <v/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2.75" customHeight="1" x14ac:dyDescent="0.2">
      <c r="A319" s="9">
        <v>19017</v>
      </c>
      <c r="B319" s="9" t="s">
        <v>158</v>
      </c>
      <c r="C319" s="9" t="s">
        <v>355</v>
      </c>
      <c r="D319" s="23"/>
      <c r="E319" s="42"/>
      <c r="F319" s="43"/>
      <c r="G319" s="42"/>
      <c r="H319" s="43"/>
      <c r="I319" s="25" t="s">
        <v>15</v>
      </c>
      <c r="J319" s="34" t="str">
        <f>IF(E319="","",raw_data!C311)</f>
        <v/>
      </c>
      <c r="K319" s="46"/>
      <c r="L319" s="87"/>
      <c r="M319" s="19" t="str">
        <f>IF(E319="","",raw_data!F311)</f>
        <v/>
      </c>
      <c r="N319" s="20" t="str">
        <f t="shared" si="14"/>
        <v/>
      </c>
      <c r="O319" s="90"/>
      <c r="P319" s="91"/>
      <c r="Q319" s="91"/>
      <c r="R319" s="91"/>
      <c r="S319" s="41" t="str">
        <f t="shared" si="13"/>
        <v/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2.75" customHeight="1" x14ac:dyDescent="0.2">
      <c r="A320" s="9">
        <v>19018</v>
      </c>
      <c r="B320" s="9" t="s">
        <v>158</v>
      </c>
      <c r="C320" s="9" t="s">
        <v>356</v>
      </c>
      <c r="D320" s="23"/>
      <c r="E320" s="42"/>
      <c r="F320" s="43"/>
      <c r="G320" s="42"/>
      <c r="H320" s="43"/>
      <c r="I320" s="25" t="s">
        <v>15</v>
      </c>
      <c r="J320" s="34" t="str">
        <f>IF(E320="","",raw_data!C312)</f>
        <v/>
      </c>
      <c r="K320" s="46"/>
      <c r="L320" s="87"/>
      <c r="M320" s="19" t="str">
        <f>IF(E320="","",raw_data!F312)</f>
        <v/>
      </c>
      <c r="N320" s="20" t="str">
        <f t="shared" si="14"/>
        <v/>
      </c>
      <c r="O320" s="90"/>
      <c r="P320" s="91"/>
      <c r="Q320" s="91"/>
      <c r="R320" s="91"/>
      <c r="S320" s="41" t="str">
        <f t="shared" si="13"/>
        <v/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2.75" customHeight="1" x14ac:dyDescent="0.2">
      <c r="A321" s="9">
        <v>19019</v>
      </c>
      <c r="B321" s="9" t="s">
        <v>158</v>
      </c>
      <c r="C321" s="9" t="s">
        <v>357</v>
      </c>
      <c r="D321" s="23"/>
      <c r="E321" s="42"/>
      <c r="F321" s="43"/>
      <c r="G321" s="42"/>
      <c r="H321" s="43"/>
      <c r="I321" s="25" t="s">
        <v>15</v>
      </c>
      <c r="J321" s="34" t="str">
        <f>IF(E321="","",raw_data!C313)</f>
        <v/>
      </c>
      <c r="K321" s="46"/>
      <c r="L321" s="87"/>
      <c r="M321" s="19" t="str">
        <f>IF(E321="","",raw_data!F313)</f>
        <v/>
      </c>
      <c r="N321" s="20" t="str">
        <f t="shared" si="14"/>
        <v/>
      </c>
      <c r="O321" s="90"/>
      <c r="P321" s="91"/>
      <c r="Q321" s="91"/>
      <c r="R321" s="91"/>
      <c r="S321" s="41" t="str">
        <f t="shared" si="13"/>
        <v/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2.75" customHeight="1" x14ac:dyDescent="0.2">
      <c r="A322" s="9">
        <v>19020</v>
      </c>
      <c r="B322" s="9" t="s">
        <v>158</v>
      </c>
      <c r="C322" s="9" t="s">
        <v>358</v>
      </c>
      <c r="D322" s="23"/>
      <c r="E322" s="42"/>
      <c r="F322" s="43"/>
      <c r="G322" s="42"/>
      <c r="H322" s="43"/>
      <c r="I322" s="25" t="s">
        <v>15</v>
      </c>
      <c r="J322" s="34" t="str">
        <f>IF(E322="","",raw_data!C314)</f>
        <v/>
      </c>
      <c r="K322" s="46"/>
      <c r="L322" s="87"/>
      <c r="M322" s="19" t="str">
        <f>IF(E322="","",raw_data!F314)</f>
        <v/>
      </c>
      <c r="N322" s="20" t="str">
        <f t="shared" si="14"/>
        <v/>
      </c>
      <c r="O322" s="90"/>
      <c r="P322" s="91"/>
      <c r="Q322" s="91"/>
      <c r="R322" s="91"/>
      <c r="S322" s="41" t="str">
        <f t="shared" si="13"/>
        <v/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2.75" customHeight="1" x14ac:dyDescent="0.2">
      <c r="A323" s="9">
        <v>19021</v>
      </c>
      <c r="B323" s="9" t="s">
        <v>158</v>
      </c>
      <c r="C323" s="9" t="s">
        <v>359</v>
      </c>
      <c r="D323" s="23"/>
      <c r="E323" s="42"/>
      <c r="F323" s="43"/>
      <c r="G323" s="42"/>
      <c r="H323" s="43"/>
      <c r="I323" s="25" t="s">
        <v>15</v>
      </c>
      <c r="J323" s="34" t="str">
        <f>IF(E323="","",raw_data!C315)</f>
        <v/>
      </c>
      <c r="K323" s="46"/>
      <c r="L323" s="87"/>
      <c r="M323" s="19" t="str">
        <f>IF(E323="","",raw_data!F315)</f>
        <v/>
      </c>
      <c r="N323" s="20" t="str">
        <f t="shared" si="14"/>
        <v/>
      </c>
      <c r="O323" s="90"/>
      <c r="P323" s="91"/>
      <c r="Q323" s="91"/>
      <c r="R323" s="91"/>
      <c r="S323" s="41" t="str">
        <f t="shared" si="13"/>
        <v/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2.75" customHeight="1" x14ac:dyDescent="0.2">
      <c r="A324" s="9">
        <v>19022</v>
      </c>
      <c r="B324" s="9" t="s">
        <v>158</v>
      </c>
      <c r="C324" s="9" t="s">
        <v>360</v>
      </c>
      <c r="D324" s="23"/>
      <c r="E324" s="42"/>
      <c r="F324" s="43"/>
      <c r="G324" s="42"/>
      <c r="H324" s="43"/>
      <c r="I324" s="25" t="s">
        <v>15</v>
      </c>
      <c r="J324" s="34" t="str">
        <f>IF(E324="","",raw_data!C316)</f>
        <v/>
      </c>
      <c r="K324" s="46"/>
      <c r="L324" s="87"/>
      <c r="M324" s="19" t="str">
        <f>IF(E324="","",raw_data!F316)</f>
        <v/>
      </c>
      <c r="N324" s="20" t="str">
        <f t="shared" si="14"/>
        <v/>
      </c>
      <c r="O324" s="90"/>
      <c r="P324" s="91"/>
      <c r="Q324" s="91"/>
      <c r="R324" s="91"/>
      <c r="S324" s="41" t="str">
        <f t="shared" si="13"/>
        <v/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2.75" customHeight="1" x14ac:dyDescent="0.2">
      <c r="A325" s="9">
        <v>19023</v>
      </c>
      <c r="B325" s="9" t="s">
        <v>158</v>
      </c>
      <c r="C325" s="9" t="s">
        <v>361</v>
      </c>
      <c r="D325" s="23"/>
      <c r="E325" s="42"/>
      <c r="F325" s="43"/>
      <c r="G325" s="42"/>
      <c r="H325" s="43"/>
      <c r="I325" s="25" t="s">
        <v>15</v>
      </c>
      <c r="J325" s="34" t="str">
        <f>IF(E325="","",raw_data!C317)</f>
        <v/>
      </c>
      <c r="K325" s="46"/>
      <c r="L325" s="87"/>
      <c r="M325" s="19" t="str">
        <f>IF(E325="","",raw_data!F317)</f>
        <v/>
      </c>
      <c r="N325" s="20" t="str">
        <f t="shared" si="14"/>
        <v/>
      </c>
      <c r="O325" s="90"/>
      <c r="P325" s="91"/>
      <c r="Q325" s="91"/>
      <c r="R325" s="91"/>
      <c r="S325" s="41" t="str">
        <f t="shared" si="13"/>
        <v/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2.75" customHeight="1" x14ac:dyDescent="0.2">
      <c r="A326" s="9">
        <v>19024</v>
      </c>
      <c r="B326" s="9" t="s">
        <v>158</v>
      </c>
      <c r="C326" s="9" t="s">
        <v>362</v>
      </c>
      <c r="D326" s="23"/>
      <c r="E326" s="42"/>
      <c r="F326" s="43"/>
      <c r="G326" s="42"/>
      <c r="H326" s="43"/>
      <c r="I326" s="25" t="s">
        <v>15</v>
      </c>
      <c r="J326" s="34" t="str">
        <f>IF(E326="","",raw_data!C318)</f>
        <v/>
      </c>
      <c r="K326" s="46"/>
      <c r="L326" s="87"/>
      <c r="M326" s="19" t="str">
        <f>IF(E326="","",raw_data!F318)</f>
        <v/>
      </c>
      <c r="N326" s="20" t="str">
        <f t="shared" si="14"/>
        <v/>
      </c>
      <c r="O326" s="90"/>
      <c r="P326" s="91"/>
      <c r="Q326" s="91"/>
      <c r="R326" s="91"/>
      <c r="S326" s="41" t="str">
        <f t="shared" si="13"/>
        <v/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2.75" customHeight="1" x14ac:dyDescent="0.2">
      <c r="A327" s="9">
        <v>19025</v>
      </c>
      <c r="B327" s="9" t="s">
        <v>158</v>
      </c>
      <c r="C327" s="9" t="s">
        <v>363</v>
      </c>
      <c r="D327" s="23"/>
      <c r="E327" s="42"/>
      <c r="F327" s="43"/>
      <c r="G327" s="42"/>
      <c r="H327" s="43"/>
      <c r="I327" s="25" t="s">
        <v>15</v>
      </c>
      <c r="J327" s="34" t="str">
        <f>IF(E327="","",raw_data!C319)</f>
        <v/>
      </c>
      <c r="K327" s="46"/>
      <c r="L327" s="87"/>
      <c r="M327" s="19" t="str">
        <f>IF(E327="","",raw_data!F319)</f>
        <v/>
      </c>
      <c r="N327" s="20" t="str">
        <f t="shared" si="14"/>
        <v/>
      </c>
      <c r="O327" s="90"/>
      <c r="P327" s="91"/>
      <c r="Q327" s="91"/>
      <c r="R327" s="91"/>
      <c r="S327" s="41" t="str">
        <f t="shared" si="13"/>
        <v/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2.75" customHeight="1" x14ac:dyDescent="0.2">
      <c r="A328" s="9">
        <v>19026</v>
      </c>
      <c r="B328" s="9" t="s">
        <v>158</v>
      </c>
      <c r="C328" s="9" t="s">
        <v>9</v>
      </c>
      <c r="D328" s="23"/>
      <c r="E328" s="42">
        <v>1</v>
      </c>
      <c r="F328" s="43"/>
      <c r="G328" s="42" t="s">
        <v>155</v>
      </c>
      <c r="H328" s="43"/>
      <c r="I328" s="25" t="s">
        <v>15</v>
      </c>
      <c r="J328" s="34">
        <f>IF(E328="","",raw_data!C320)</f>
        <v>0</v>
      </c>
      <c r="K328" s="46"/>
      <c r="L328" s="87"/>
      <c r="M328" s="19">
        <f>IF(E328="","",raw_data!F320)</f>
        <v>0</v>
      </c>
      <c r="N328" s="20" t="str">
        <f t="shared" si="14"/>
        <v>-</v>
      </c>
      <c r="O328" s="90"/>
      <c r="P328" s="91"/>
      <c r="Q328" s="91"/>
      <c r="R328" s="91"/>
      <c r="S328" s="41" t="str">
        <f t="shared" si="13"/>
        <v>erfüllt</v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2.75" customHeight="1" x14ac:dyDescent="0.2">
      <c r="A329" s="9">
        <v>19027</v>
      </c>
      <c r="B329" s="9" t="s">
        <v>158</v>
      </c>
      <c r="C329" s="9" t="s">
        <v>241</v>
      </c>
      <c r="D329" s="23"/>
      <c r="E329" s="42">
        <v>1</v>
      </c>
      <c r="F329" s="43"/>
      <c r="G329" s="42" t="s">
        <v>155</v>
      </c>
      <c r="H329" s="43"/>
      <c r="I329" s="25" t="s">
        <v>15</v>
      </c>
      <c r="J329" s="34">
        <f>IF(E329="","",raw_data!C321)</f>
        <v>0</v>
      </c>
      <c r="K329" s="46"/>
      <c r="L329" s="87"/>
      <c r="M329" s="19">
        <f>IF(E329="","",raw_data!F321)</f>
        <v>0</v>
      </c>
      <c r="N329" s="20" t="str">
        <f t="shared" si="14"/>
        <v>-</v>
      </c>
      <c r="O329" s="90"/>
      <c r="P329" s="91"/>
      <c r="Q329" s="91"/>
      <c r="R329" s="91"/>
      <c r="S329" s="41" t="str">
        <f t="shared" si="13"/>
        <v>erfüllt</v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2.75" customHeight="1" x14ac:dyDescent="0.2">
      <c r="A330" s="9">
        <v>19028</v>
      </c>
      <c r="B330" s="9" t="s">
        <v>158</v>
      </c>
      <c r="C330" s="9" t="s">
        <v>79</v>
      </c>
      <c r="D330" s="23"/>
      <c r="E330" s="42"/>
      <c r="F330" s="43"/>
      <c r="G330" s="42"/>
      <c r="H330" s="43"/>
      <c r="I330" s="25" t="s">
        <v>15</v>
      </c>
      <c r="J330" s="34" t="str">
        <f>IF(E330="","",raw_data!C322)</f>
        <v/>
      </c>
      <c r="K330" s="46"/>
      <c r="L330" s="87"/>
      <c r="M330" s="19" t="str">
        <f>IF(E330="","",raw_data!F322)</f>
        <v/>
      </c>
      <c r="N330" s="20" t="str">
        <f t="shared" si="14"/>
        <v/>
      </c>
      <c r="O330" s="90"/>
      <c r="P330" s="91"/>
      <c r="Q330" s="91"/>
      <c r="R330" s="91"/>
      <c r="S330" s="41" t="str">
        <f t="shared" ref="S330:S393" si="15">IF(E330="","",IF(OR(NOT(ISNUMBER(N330)),N330&lt;=(1-E330)),"erfüllt",IF(G330="Fehler","mit Fehler",IF(G330="Warnung","mit Warnung",""))))</f>
        <v/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2.75" customHeight="1" x14ac:dyDescent="0.2">
      <c r="A331" s="9">
        <v>19029</v>
      </c>
      <c r="B331" s="9" t="s">
        <v>158</v>
      </c>
      <c r="C331" s="9" t="s">
        <v>242</v>
      </c>
      <c r="D331" s="23"/>
      <c r="E331" s="42">
        <v>1</v>
      </c>
      <c r="F331" s="43"/>
      <c r="G331" s="42" t="s">
        <v>155</v>
      </c>
      <c r="H331" s="43"/>
      <c r="I331" s="25" t="s">
        <v>15</v>
      </c>
      <c r="J331" s="34">
        <f>IF(E331="","",raw_data!C323)</f>
        <v>0</v>
      </c>
      <c r="K331" s="46"/>
      <c r="L331" s="87"/>
      <c r="M331" s="19">
        <f>IF(E331="","",raw_data!F323)</f>
        <v>0</v>
      </c>
      <c r="N331" s="20" t="str">
        <f t="shared" ref="N331:N394" si="16">IF(E331="","",IFERROR(M331/J331,"-"))</f>
        <v>-</v>
      </c>
      <c r="O331" s="90"/>
      <c r="P331" s="91"/>
      <c r="Q331" s="91"/>
      <c r="R331" s="91"/>
      <c r="S331" s="41" t="str">
        <f t="shared" si="15"/>
        <v>erfüllt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2.75" customHeight="1" x14ac:dyDescent="0.2">
      <c r="A332" s="9">
        <v>19030</v>
      </c>
      <c r="B332" s="9" t="s">
        <v>158</v>
      </c>
      <c r="C332" s="9" t="s">
        <v>80</v>
      </c>
      <c r="D332" s="23"/>
      <c r="E332" s="42">
        <v>1</v>
      </c>
      <c r="F332" s="43"/>
      <c r="G332" s="42" t="s">
        <v>155</v>
      </c>
      <c r="H332" s="43"/>
      <c r="I332" s="25" t="s">
        <v>15</v>
      </c>
      <c r="J332" s="34">
        <f>IF(E332="","",raw_data!C324)</f>
        <v>0</v>
      </c>
      <c r="K332" s="46"/>
      <c r="L332" s="87"/>
      <c r="M332" s="19">
        <f>IF(E332="","",raw_data!F324)</f>
        <v>0</v>
      </c>
      <c r="N332" s="20" t="str">
        <f t="shared" si="16"/>
        <v>-</v>
      </c>
      <c r="O332" s="90"/>
      <c r="P332" s="91"/>
      <c r="Q332" s="91"/>
      <c r="R332" s="91"/>
      <c r="S332" s="41" t="str">
        <f t="shared" si="15"/>
        <v>erfüllt</v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2.75" customHeight="1" x14ac:dyDescent="0.2">
      <c r="A333" s="9">
        <v>19031</v>
      </c>
      <c r="B333" s="9" t="s">
        <v>158</v>
      </c>
      <c r="C333" s="9" t="s">
        <v>81</v>
      </c>
      <c r="D333" s="23"/>
      <c r="E333" s="42">
        <v>1</v>
      </c>
      <c r="F333" s="43"/>
      <c r="G333" s="42" t="s">
        <v>155</v>
      </c>
      <c r="H333" s="43"/>
      <c r="I333" s="25" t="s">
        <v>15</v>
      </c>
      <c r="J333" s="34">
        <f>IF(E333="","",raw_data!C325)</f>
        <v>0</v>
      </c>
      <c r="K333" s="46"/>
      <c r="L333" s="87"/>
      <c r="M333" s="19">
        <f>IF(E333="","",raw_data!F325)</f>
        <v>0</v>
      </c>
      <c r="N333" s="20" t="str">
        <f t="shared" si="16"/>
        <v>-</v>
      </c>
      <c r="O333" s="90"/>
      <c r="P333" s="91"/>
      <c r="Q333" s="91"/>
      <c r="R333" s="91"/>
      <c r="S333" s="41" t="str">
        <f t="shared" si="15"/>
        <v>erfüllt</v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2.75" customHeight="1" x14ac:dyDescent="0.2">
      <c r="A334" s="9">
        <v>19032</v>
      </c>
      <c r="B334" s="9" t="s">
        <v>158</v>
      </c>
      <c r="C334" s="9" t="s">
        <v>193</v>
      </c>
      <c r="D334" s="23"/>
      <c r="E334" s="42">
        <v>1</v>
      </c>
      <c r="F334" s="43"/>
      <c r="G334" s="42" t="s">
        <v>155</v>
      </c>
      <c r="H334" s="43"/>
      <c r="I334" s="25" t="s">
        <v>15</v>
      </c>
      <c r="J334" s="34">
        <f>IF(E334="","",raw_data!C326)</f>
        <v>0</v>
      </c>
      <c r="K334" s="46"/>
      <c r="L334" s="87"/>
      <c r="M334" s="19">
        <f>IF(E334="","",raw_data!F326)</f>
        <v>0</v>
      </c>
      <c r="N334" s="20" t="str">
        <f t="shared" si="16"/>
        <v>-</v>
      </c>
      <c r="O334" s="90"/>
      <c r="P334" s="91"/>
      <c r="Q334" s="91"/>
      <c r="R334" s="91"/>
      <c r="S334" s="41" t="str">
        <f t="shared" si="15"/>
        <v>erfüllt</v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2.75" customHeight="1" x14ac:dyDescent="0.2">
      <c r="A335" s="9">
        <v>19033</v>
      </c>
      <c r="B335" s="9" t="s">
        <v>158</v>
      </c>
      <c r="C335" s="9" t="s">
        <v>56</v>
      </c>
      <c r="D335" s="23"/>
      <c r="E335" s="42">
        <v>1</v>
      </c>
      <c r="F335" s="43"/>
      <c r="G335" s="42" t="s">
        <v>155</v>
      </c>
      <c r="H335" s="43"/>
      <c r="I335" s="25" t="s">
        <v>15</v>
      </c>
      <c r="J335" s="34">
        <f>IF(E335="","",raw_data!C327)</f>
        <v>0</v>
      </c>
      <c r="K335" s="46"/>
      <c r="L335" s="87"/>
      <c r="M335" s="19">
        <f>IF(E335="","",raw_data!F327)</f>
        <v>0</v>
      </c>
      <c r="N335" s="20" t="str">
        <f t="shared" si="16"/>
        <v>-</v>
      </c>
      <c r="O335" s="90"/>
      <c r="P335" s="91"/>
      <c r="Q335" s="91"/>
      <c r="R335" s="91"/>
      <c r="S335" s="41" t="str">
        <f t="shared" si="15"/>
        <v>erfüllt</v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2.75" customHeight="1" x14ac:dyDescent="0.2">
      <c r="A336" s="9">
        <v>19034</v>
      </c>
      <c r="B336" s="9" t="s">
        <v>82</v>
      </c>
      <c r="C336" s="9" t="s">
        <v>77</v>
      </c>
      <c r="D336" s="23"/>
      <c r="E336" s="42"/>
      <c r="F336" s="43"/>
      <c r="G336" s="42"/>
      <c r="H336" s="43"/>
      <c r="I336" s="25" t="s">
        <v>15</v>
      </c>
      <c r="J336" s="34" t="str">
        <f>IF(E336="","",raw_data!C328)</f>
        <v/>
      </c>
      <c r="K336" s="46"/>
      <c r="L336" s="87"/>
      <c r="M336" s="19" t="str">
        <f>IF(E336="","",raw_data!F328)</f>
        <v/>
      </c>
      <c r="N336" s="20" t="str">
        <f t="shared" si="16"/>
        <v/>
      </c>
      <c r="O336" s="90"/>
      <c r="P336" s="91"/>
      <c r="Q336" s="91"/>
      <c r="R336" s="91"/>
      <c r="S336" s="41" t="str">
        <f t="shared" si="15"/>
        <v/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2.75" customHeight="1" x14ac:dyDescent="0.2">
      <c r="A337" s="9">
        <v>19035</v>
      </c>
      <c r="B337" s="9" t="s">
        <v>82</v>
      </c>
      <c r="C337" s="9" t="s">
        <v>19</v>
      </c>
      <c r="D337" s="23"/>
      <c r="E337" s="42"/>
      <c r="F337" s="43"/>
      <c r="G337" s="42"/>
      <c r="H337" s="43"/>
      <c r="I337" s="25" t="s">
        <v>15</v>
      </c>
      <c r="J337" s="34" t="str">
        <f>IF(E337="","",raw_data!C329)</f>
        <v/>
      </c>
      <c r="K337" s="46"/>
      <c r="L337" s="87"/>
      <c r="M337" s="19" t="str">
        <f>IF(E337="","",raw_data!F329)</f>
        <v/>
      </c>
      <c r="N337" s="20" t="str">
        <f t="shared" si="16"/>
        <v/>
      </c>
      <c r="O337" s="90"/>
      <c r="P337" s="91"/>
      <c r="Q337" s="91"/>
      <c r="R337" s="91"/>
      <c r="S337" s="41" t="str">
        <f t="shared" si="15"/>
        <v/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2.75" customHeight="1" x14ac:dyDescent="0.2">
      <c r="A338" s="9">
        <v>19036</v>
      </c>
      <c r="B338" s="9" t="s">
        <v>82</v>
      </c>
      <c r="C338" s="9" t="s">
        <v>240</v>
      </c>
      <c r="D338" s="23"/>
      <c r="E338" s="42">
        <v>1</v>
      </c>
      <c r="F338" s="43"/>
      <c r="G338" s="42" t="s">
        <v>155</v>
      </c>
      <c r="H338" s="43"/>
      <c r="I338" s="25" t="s">
        <v>15</v>
      </c>
      <c r="J338" s="34">
        <f>IF(E338="","",raw_data!C330)</f>
        <v>0</v>
      </c>
      <c r="K338" s="46"/>
      <c r="L338" s="87"/>
      <c r="M338" s="19">
        <f>IF(E338="","",raw_data!F330)</f>
        <v>0</v>
      </c>
      <c r="N338" s="20" t="str">
        <f t="shared" si="16"/>
        <v>-</v>
      </c>
      <c r="O338" s="90"/>
      <c r="P338" s="91"/>
      <c r="Q338" s="91"/>
      <c r="R338" s="91"/>
      <c r="S338" s="41" t="str">
        <f t="shared" si="15"/>
        <v>erfüllt</v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2.75" customHeight="1" x14ac:dyDescent="0.2">
      <c r="A339" s="9">
        <v>19037</v>
      </c>
      <c r="B339" s="9" t="s">
        <v>82</v>
      </c>
      <c r="C339" s="9" t="s">
        <v>160</v>
      </c>
      <c r="D339" s="23"/>
      <c r="E339" s="42"/>
      <c r="F339" s="43"/>
      <c r="G339" s="42"/>
      <c r="H339" s="43"/>
      <c r="I339" s="25" t="s">
        <v>15</v>
      </c>
      <c r="J339" s="34" t="str">
        <f>IF(E339="","",raw_data!C331)</f>
        <v/>
      </c>
      <c r="K339" s="46"/>
      <c r="L339" s="87"/>
      <c r="M339" s="19" t="str">
        <f>IF(E339="","",raw_data!F331)</f>
        <v/>
      </c>
      <c r="N339" s="20" t="str">
        <f t="shared" si="16"/>
        <v/>
      </c>
      <c r="O339" s="90"/>
      <c r="P339" s="91"/>
      <c r="Q339" s="91"/>
      <c r="R339" s="91"/>
      <c r="S339" s="41" t="str">
        <f t="shared" si="15"/>
        <v/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2.75" customHeight="1" x14ac:dyDescent="0.2">
      <c r="A340" s="9">
        <v>19038</v>
      </c>
      <c r="B340" s="9" t="s">
        <v>82</v>
      </c>
      <c r="C340" s="9" t="s">
        <v>161</v>
      </c>
      <c r="D340" s="23"/>
      <c r="E340" s="42"/>
      <c r="F340" s="43"/>
      <c r="G340" s="42"/>
      <c r="H340" s="43"/>
      <c r="I340" s="25" t="s">
        <v>15</v>
      </c>
      <c r="J340" s="34" t="str">
        <f>IF(E340="","",raw_data!C332)</f>
        <v/>
      </c>
      <c r="K340" s="46"/>
      <c r="L340" s="87"/>
      <c r="M340" s="19" t="str">
        <f>IF(E340="","",raw_data!F332)</f>
        <v/>
      </c>
      <c r="N340" s="20" t="str">
        <f t="shared" si="16"/>
        <v/>
      </c>
      <c r="O340" s="90"/>
      <c r="P340" s="91"/>
      <c r="Q340" s="91"/>
      <c r="R340" s="91"/>
      <c r="S340" s="41" t="str">
        <f t="shared" si="15"/>
        <v/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2.75" customHeight="1" x14ac:dyDescent="0.2">
      <c r="A341" s="9">
        <v>19039</v>
      </c>
      <c r="B341" s="9" t="s">
        <v>82</v>
      </c>
      <c r="C341" s="9" t="s">
        <v>346</v>
      </c>
      <c r="D341" s="23"/>
      <c r="E341" s="42"/>
      <c r="F341" s="43"/>
      <c r="G341" s="42"/>
      <c r="H341" s="43"/>
      <c r="I341" s="25" t="s">
        <v>15</v>
      </c>
      <c r="J341" s="34" t="str">
        <f>IF(E341="","",raw_data!C333)</f>
        <v/>
      </c>
      <c r="K341" s="46"/>
      <c r="L341" s="87"/>
      <c r="M341" s="19" t="str">
        <f>IF(E341="","",raw_data!F333)</f>
        <v/>
      </c>
      <c r="N341" s="20" t="str">
        <f t="shared" si="16"/>
        <v/>
      </c>
      <c r="O341" s="90"/>
      <c r="P341" s="91"/>
      <c r="Q341" s="91"/>
      <c r="R341" s="91"/>
      <c r="S341" s="41" t="str">
        <f t="shared" si="15"/>
        <v/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2.75" customHeight="1" x14ac:dyDescent="0.2">
      <c r="A342" s="9">
        <v>19040</v>
      </c>
      <c r="B342" s="9" t="s">
        <v>82</v>
      </c>
      <c r="C342" s="9" t="s">
        <v>347</v>
      </c>
      <c r="D342" s="23"/>
      <c r="E342" s="42"/>
      <c r="F342" s="43"/>
      <c r="G342" s="42"/>
      <c r="H342" s="43"/>
      <c r="I342" s="25" t="s">
        <v>15</v>
      </c>
      <c r="J342" s="34" t="str">
        <f>IF(E342="","",raw_data!C334)</f>
        <v/>
      </c>
      <c r="K342" s="46"/>
      <c r="L342" s="87"/>
      <c r="M342" s="19" t="str">
        <f>IF(E342="","",raw_data!F334)</f>
        <v/>
      </c>
      <c r="N342" s="20" t="str">
        <f t="shared" si="16"/>
        <v/>
      </c>
      <c r="O342" s="90"/>
      <c r="P342" s="91"/>
      <c r="Q342" s="91"/>
      <c r="R342" s="91"/>
      <c r="S342" s="41" t="str">
        <f t="shared" si="15"/>
        <v/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2.75" customHeight="1" x14ac:dyDescent="0.2">
      <c r="A343" s="9">
        <v>19041</v>
      </c>
      <c r="B343" s="9" t="s">
        <v>82</v>
      </c>
      <c r="C343" s="9" t="s">
        <v>348</v>
      </c>
      <c r="D343" s="23"/>
      <c r="E343" s="42"/>
      <c r="F343" s="43"/>
      <c r="G343" s="42"/>
      <c r="H343" s="43"/>
      <c r="I343" s="25" t="s">
        <v>15</v>
      </c>
      <c r="J343" s="34" t="str">
        <f>IF(E343="","",raw_data!C335)</f>
        <v/>
      </c>
      <c r="K343" s="46"/>
      <c r="L343" s="87"/>
      <c r="M343" s="19" t="str">
        <f>IF(E343="","",raw_data!F335)</f>
        <v/>
      </c>
      <c r="N343" s="20" t="str">
        <f t="shared" si="16"/>
        <v/>
      </c>
      <c r="O343" s="90"/>
      <c r="P343" s="91"/>
      <c r="Q343" s="91"/>
      <c r="R343" s="91"/>
      <c r="S343" s="41" t="str">
        <f t="shared" si="15"/>
        <v/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2.75" customHeight="1" x14ac:dyDescent="0.2">
      <c r="A344" s="9">
        <v>19042</v>
      </c>
      <c r="B344" s="9" t="s">
        <v>82</v>
      </c>
      <c r="C344" s="9" t="s">
        <v>349</v>
      </c>
      <c r="D344" s="23"/>
      <c r="E344" s="42"/>
      <c r="F344" s="43"/>
      <c r="G344" s="42"/>
      <c r="H344" s="43"/>
      <c r="I344" s="25" t="s">
        <v>15</v>
      </c>
      <c r="J344" s="34" t="str">
        <f>IF(E344="","",raw_data!C336)</f>
        <v/>
      </c>
      <c r="K344" s="46"/>
      <c r="L344" s="87"/>
      <c r="M344" s="19" t="str">
        <f>IF(E344="","",raw_data!F336)</f>
        <v/>
      </c>
      <c r="N344" s="20" t="str">
        <f t="shared" si="16"/>
        <v/>
      </c>
      <c r="O344" s="90"/>
      <c r="P344" s="91"/>
      <c r="Q344" s="91"/>
      <c r="R344" s="91"/>
      <c r="S344" s="41" t="str">
        <f t="shared" si="15"/>
        <v/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2.75" customHeight="1" x14ac:dyDescent="0.2">
      <c r="A345" s="9">
        <v>19043</v>
      </c>
      <c r="B345" s="9" t="s">
        <v>82</v>
      </c>
      <c r="C345" s="9" t="s">
        <v>350</v>
      </c>
      <c r="D345" s="23"/>
      <c r="E345" s="42"/>
      <c r="F345" s="43"/>
      <c r="G345" s="42"/>
      <c r="H345" s="43"/>
      <c r="I345" s="25" t="s">
        <v>15</v>
      </c>
      <c r="J345" s="34" t="str">
        <f>IF(E345="","",raw_data!C337)</f>
        <v/>
      </c>
      <c r="K345" s="46"/>
      <c r="L345" s="87"/>
      <c r="M345" s="19" t="str">
        <f>IF(E345="","",raw_data!F337)</f>
        <v/>
      </c>
      <c r="N345" s="20" t="str">
        <f t="shared" si="16"/>
        <v/>
      </c>
      <c r="O345" s="90"/>
      <c r="P345" s="91"/>
      <c r="Q345" s="91"/>
      <c r="R345" s="91"/>
      <c r="S345" s="41" t="str">
        <f t="shared" si="15"/>
        <v/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2.75" customHeight="1" x14ac:dyDescent="0.2">
      <c r="A346" s="9">
        <v>19044</v>
      </c>
      <c r="B346" s="9" t="s">
        <v>82</v>
      </c>
      <c r="C346" s="9" t="s">
        <v>351</v>
      </c>
      <c r="D346" s="23"/>
      <c r="E346" s="42"/>
      <c r="F346" s="43"/>
      <c r="G346" s="42"/>
      <c r="H346" s="43"/>
      <c r="I346" s="25" t="s">
        <v>15</v>
      </c>
      <c r="J346" s="34" t="str">
        <f>IF(E346="","",raw_data!C338)</f>
        <v/>
      </c>
      <c r="K346" s="46"/>
      <c r="L346" s="87"/>
      <c r="M346" s="19" t="str">
        <f>IF(E346="","",raw_data!F338)</f>
        <v/>
      </c>
      <c r="N346" s="20" t="str">
        <f t="shared" si="16"/>
        <v/>
      </c>
      <c r="O346" s="90"/>
      <c r="P346" s="91"/>
      <c r="Q346" s="91"/>
      <c r="R346" s="91"/>
      <c r="S346" s="41" t="str">
        <f t="shared" si="15"/>
        <v/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2.75" customHeight="1" x14ac:dyDescent="0.2">
      <c r="A347" s="9">
        <v>19045</v>
      </c>
      <c r="B347" s="9" t="s">
        <v>82</v>
      </c>
      <c r="C347" s="9" t="s">
        <v>352</v>
      </c>
      <c r="D347" s="23"/>
      <c r="E347" s="42"/>
      <c r="F347" s="43"/>
      <c r="G347" s="42"/>
      <c r="H347" s="43"/>
      <c r="I347" s="25" t="s">
        <v>15</v>
      </c>
      <c r="J347" s="34" t="str">
        <f>IF(E347="","",raw_data!C339)</f>
        <v/>
      </c>
      <c r="K347" s="46"/>
      <c r="L347" s="87"/>
      <c r="M347" s="19" t="str">
        <f>IF(E347="","",raw_data!F339)</f>
        <v/>
      </c>
      <c r="N347" s="20" t="str">
        <f t="shared" si="16"/>
        <v/>
      </c>
      <c r="O347" s="90"/>
      <c r="P347" s="91"/>
      <c r="Q347" s="91"/>
      <c r="R347" s="91"/>
      <c r="S347" s="41" t="str">
        <f t="shared" si="15"/>
        <v/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2.75" customHeight="1" x14ac:dyDescent="0.2">
      <c r="A348" s="9">
        <v>19046</v>
      </c>
      <c r="B348" s="9" t="s">
        <v>82</v>
      </c>
      <c r="C348" s="9" t="s">
        <v>353</v>
      </c>
      <c r="D348" s="23"/>
      <c r="E348" s="42"/>
      <c r="F348" s="43"/>
      <c r="G348" s="42"/>
      <c r="H348" s="43"/>
      <c r="I348" s="25" t="s">
        <v>15</v>
      </c>
      <c r="J348" s="34" t="str">
        <f>IF(E348="","",raw_data!C340)</f>
        <v/>
      </c>
      <c r="K348" s="46"/>
      <c r="L348" s="87"/>
      <c r="M348" s="19" t="str">
        <f>IF(E348="","",raw_data!F340)</f>
        <v/>
      </c>
      <c r="N348" s="20" t="str">
        <f t="shared" si="16"/>
        <v/>
      </c>
      <c r="O348" s="90"/>
      <c r="P348" s="91"/>
      <c r="Q348" s="91"/>
      <c r="R348" s="91"/>
      <c r="S348" s="41" t="str">
        <f t="shared" si="15"/>
        <v/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2.75" customHeight="1" x14ac:dyDescent="0.2">
      <c r="A349" s="9">
        <v>19047</v>
      </c>
      <c r="B349" s="9" t="s">
        <v>82</v>
      </c>
      <c r="C349" s="9" t="s">
        <v>354</v>
      </c>
      <c r="D349" s="23"/>
      <c r="E349" s="42"/>
      <c r="F349" s="43"/>
      <c r="G349" s="42"/>
      <c r="H349" s="43"/>
      <c r="I349" s="25" t="s">
        <v>15</v>
      </c>
      <c r="J349" s="34" t="str">
        <f>IF(E349="","",raw_data!C341)</f>
        <v/>
      </c>
      <c r="K349" s="46"/>
      <c r="L349" s="87"/>
      <c r="M349" s="19" t="str">
        <f>IF(E349="","",raw_data!F341)</f>
        <v/>
      </c>
      <c r="N349" s="20" t="str">
        <f t="shared" si="16"/>
        <v/>
      </c>
      <c r="O349" s="90"/>
      <c r="P349" s="91"/>
      <c r="Q349" s="91"/>
      <c r="R349" s="91"/>
      <c r="S349" s="41" t="str">
        <f t="shared" si="15"/>
        <v/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2.75" customHeight="1" x14ac:dyDescent="0.2">
      <c r="A350" s="9">
        <v>19048</v>
      </c>
      <c r="B350" s="9" t="s">
        <v>82</v>
      </c>
      <c r="C350" s="9" t="s">
        <v>243</v>
      </c>
      <c r="D350" s="23"/>
      <c r="E350" s="42"/>
      <c r="F350" s="43"/>
      <c r="G350" s="42"/>
      <c r="H350" s="43"/>
      <c r="I350" s="25" t="s">
        <v>15</v>
      </c>
      <c r="J350" s="34" t="str">
        <f>IF(E350="","",raw_data!C342)</f>
        <v/>
      </c>
      <c r="K350" s="46"/>
      <c r="L350" s="87"/>
      <c r="M350" s="19" t="str">
        <f>IF(E350="","",raw_data!F342)</f>
        <v/>
      </c>
      <c r="N350" s="20" t="str">
        <f t="shared" si="16"/>
        <v/>
      </c>
      <c r="O350" s="90"/>
      <c r="P350" s="91"/>
      <c r="Q350" s="91"/>
      <c r="R350" s="91"/>
      <c r="S350" s="41" t="str">
        <f t="shared" si="15"/>
        <v/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2.75" customHeight="1" x14ac:dyDescent="0.2">
      <c r="A351" s="9">
        <v>19049</v>
      </c>
      <c r="B351" s="9" t="s">
        <v>82</v>
      </c>
      <c r="C351" s="9" t="s">
        <v>244</v>
      </c>
      <c r="D351" s="23"/>
      <c r="E351" s="42"/>
      <c r="F351" s="43"/>
      <c r="G351" s="42"/>
      <c r="H351" s="43"/>
      <c r="I351" s="25" t="s">
        <v>15</v>
      </c>
      <c r="J351" s="34" t="str">
        <f>IF(E351="","",raw_data!C343)</f>
        <v/>
      </c>
      <c r="K351" s="46"/>
      <c r="L351" s="87"/>
      <c r="M351" s="19" t="str">
        <f>IF(E351="","",raw_data!F343)</f>
        <v/>
      </c>
      <c r="N351" s="20" t="str">
        <f t="shared" si="16"/>
        <v/>
      </c>
      <c r="O351" s="90"/>
      <c r="P351" s="91"/>
      <c r="Q351" s="91"/>
      <c r="R351" s="91"/>
      <c r="S351" s="41" t="str">
        <f t="shared" si="15"/>
        <v/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2.75" customHeight="1" x14ac:dyDescent="0.2">
      <c r="A352" s="9">
        <v>19050</v>
      </c>
      <c r="B352" s="9" t="s">
        <v>82</v>
      </c>
      <c r="C352" s="9" t="s">
        <v>245</v>
      </c>
      <c r="D352" s="23"/>
      <c r="E352" s="42"/>
      <c r="F352" s="43"/>
      <c r="G352" s="42"/>
      <c r="H352" s="43"/>
      <c r="I352" s="25" t="s">
        <v>15</v>
      </c>
      <c r="J352" s="34" t="str">
        <f>IF(E352="","",raw_data!C344)</f>
        <v/>
      </c>
      <c r="K352" s="46"/>
      <c r="L352" s="87"/>
      <c r="M352" s="19" t="str">
        <f>IF(E352="","",raw_data!F344)</f>
        <v/>
      </c>
      <c r="N352" s="20" t="str">
        <f t="shared" si="16"/>
        <v/>
      </c>
      <c r="O352" s="90"/>
      <c r="P352" s="91"/>
      <c r="Q352" s="91"/>
      <c r="R352" s="91"/>
      <c r="S352" s="41" t="str">
        <f t="shared" si="15"/>
        <v/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2.75" customHeight="1" x14ac:dyDescent="0.2">
      <c r="A353" s="9">
        <v>19051</v>
      </c>
      <c r="B353" s="9" t="s">
        <v>82</v>
      </c>
      <c r="C353" s="9" t="s">
        <v>78</v>
      </c>
      <c r="D353" s="23"/>
      <c r="E353" s="42"/>
      <c r="F353" s="43"/>
      <c r="G353" s="42"/>
      <c r="H353" s="43"/>
      <c r="I353" s="25" t="s">
        <v>15</v>
      </c>
      <c r="J353" s="34" t="str">
        <f>IF(E353="","",raw_data!C345)</f>
        <v/>
      </c>
      <c r="K353" s="46"/>
      <c r="L353" s="87"/>
      <c r="M353" s="19" t="str">
        <f>IF(E353="","",raw_data!F345)</f>
        <v/>
      </c>
      <c r="N353" s="20" t="str">
        <f t="shared" si="16"/>
        <v/>
      </c>
      <c r="O353" s="90"/>
      <c r="P353" s="91"/>
      <c r="Q353" s="91"/>
      <c r="R353" s="91"/>
      <c r="S353" s="41" t="str">
        <f t="shared" si="15"/>
        <v/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2.75" customHeight="1" x14ac:dyDescent="0.2">
      <c r="A354" s="9">
        <v>19052</v>
      </c>
      <c r="B354" s="9" t="s">
        <v>82</v>
      </c>
      <c r="C354" s="9" t="s">
        <v>162</v>
      </c>
      <c r="D354" s="23"/>
      <c r="E354" s="42"/>
      <c r="F354" s="43"/>
      <c r="G354" s="42"/>
      <c r="H354" s="43"/>
      <c r="I354" s="25" t="s">
        <v>15</v>
      </c>
      <c r="J354" s="34" t="str">
        <f>IF(E354="","",raw_data!C346)</f>
        <v/>
      </c>
      <c r="K354" s="46"/>
      <c r="L354" s="87"/>
      <c r="M354" s="19" t="str">
        <f>IF(E354="","",raw_data!F346)</f>
        <v/>
      </c>
      <c r="N354" s="20" t="str">
        <f t="shared" si="16"/>
        <v/>
      </c>
      <c r="O354" s="90"/>
      <c r="P354" s="91"/>
      <c r="Q354" s="91"/>
      <c r="R354" s="91"/>
      <c r="S354" s="41" t="str">
        <f t="shared" si="15"/>
        <v/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2.75" customHeight="1" x14ac:dyDescent="0.2">
      <c r="A355" s="9">
        <v>19053</v>
      </c>
      <c r="B355" s="9" t="s">
        <v>82</v>
      </c>
      <c r="C355" s="9" t="s">
        <v>355</v>
      </c>
      <c r="D355" s="23"/>
      <c r="E355" s="42"/>
      <c r="F355" s="43"/>
      <c r="G355" s="42"/>
      <c r="H355" s="43"/>
      <c r="I355" s="25" t="s">
        <v>15</v>
      </c>
      <c r="J355" s="34" t="str">
        <f>IF(E355="","",raw_data!C347)</f>
        <v/>
      </c>
      <c r="K355" s="46"/>
      <c r="L355" s="87"/>
      <c r="M355" s="19" t="str">
        <f>IF(E355="","",raw_data!F347)</f>
        <v/>
      </c>
      <c r="N355" s="20" t="str">
        <f t="shared" si="16"/>
        <v/>
      </c>
      <c r="O355" s="90"/>
      <c r="P355" s="91"/>
      <c r="Q355" s="91"/>
      <c r="R355" s="91"/>
      <c r="S355" s="41" t="str">
        <f t="shared" si="15"/>
        <v/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2.75" customHeight="1" x14ac:dyDescent="0.2">
      <c r="A356" s="9">
        <v>19054</v>
      </c>
      <c r="B356" s="9" t="s">
        <v>82</v>
      </c>
      <c r="C356" s="9" t="s">
        <v>356</v>
      </c>
      <c r="D356" s="23"/>
      <c r="E356" s="42"/>
      <c r="F356" s="43"/>
      <c r="G356" s="42"/>
      <c r="H356" s="43"/>
      <c r="I356" s="25" t="s">
        <v>15</v>
      </c>
      <c r="J356" s="34" t="str">
        <f>IF(E356="","",raw_data!C348)</f>
        <v/>
      </c>
      <c r="K356" s="46"/>
      <c r="L356" s="87"/>
      <c r="M356" s="19" t="str">
        <f>IF(E356="","",raw_data!F348)</f>
        <v/>
      </c>
      <c r="N356" s="20" t="str">
        <f t="shared" si="16"/>
        <v/>
      </c>
      <c r="O356" s="90"/>
      <c r="P356" s="91"/>
      <c r="Q356" s="91"/>
      <c r="R356" s="91"/>
      <c r="S356" s="41" t="str">
        <f t="shared" si="15"/>
        <v/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2.75" customHeight="1" x14ac:dyDescent="0.2">
      <c r="A357" s="9">
        <v>19055</v>
      </c>
      <c r="B357" s="9" t="s">
        <v>82</v>
      </c>
      <c r="C357" s="9" t="s">
        <v>357</v>
      </c>
      <c r="D357" s="23"/>
      <c r="E357" s="42"/>
      <c r="F357" s="43"/>
      <c r="G357" s="42"/>
      <c r="H357" s="43"/>
      <c r="I357" s="25" t="s">
        <v>15</v>
      </c>
      <c r="J357" s="34" t="str">
        <f>IF(E357="","",raw_data!C349)</f>
        <v/>
      </c>
      <c r="K357" s="46"/>
      <c r="L357" s="87"/>
      <c r="M357" s="19" t="str">
        <f>IF(E357="","",raw_data!F349)</f>
        <v/>
      </c>
      <c r="N357" s="20" t="str">
        <f t="shared" si="16"/>
        <v/>
      </c>
      <c r="O357" s="90"/>
      <c r="P357" s="91"/>
      <c r="Q357" s="91"/>
      <c r="R357" s="91"/>
      <c r="S357" s="41" t="str">
        <f t="shared" si="15"/>
        <v/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2.75" customHeight="1" x14ac:dyDescent="0.2">
      <c r="A358" s="9">
        <v>19056</v>
      </c>
      <c r="B358" s="9" t="s">
        <v>82</v>
      </c>
      <c r="C358" s="9" t="s">
        <v>358</v>
      </c>
      <c r="D358" s="23"/>
      <c r="E358" s="42"/>
      <c r="F358" s="43"/>
      <c r="G358" s="42"/>
      <c r="H358" s="43"/>
      <c r="I358" s="25" t="s">
        <v>15</v>
      </c>
      <c r="J358" s="34" t="str">
        <f>IF(E358="","",raw_data!C350)</f>
        <v/>
      </c>
      <c r="K358" s="46"/>
      <c r="L358" s="87"/>
      <c r="M358" s="19" t="str">
        <f>IF(E358="","",raw_data!F350)</f>
        <v/>
      </c>
      <c r="N358" s="20" t="str">
        <f t="shared" si="16"/>
        <v/>
      </c>
      <c r="O358" s="90"/>
      <c r="P358" s="91"/>
      <c r="Q358" s="91"/>
      <c r="R358" s="91"/>
      <c r="S358" s="41" t="str">
        <f t="shared" si="15"/>
        <v/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2.75" customHeight="1" x14ac:dyDescent="0.2">
      <c r="A359" s="9">
        <v>19057</v>
      </c>
      <c r="B359" s="9" t="s">
        <v>82</v>
      </c>
      <c r="C359" s="9" t="s">
        <v>359</v>
      </c>
      <c r="D359" s="23"/>
      <c r="E359" s="42"/>
      <c r="F359" s="43"/>
      <c r="G359" s="42"/>
      <c r="H359" s="43"/>
      <c r="I359" s="25" t="s">
        <v>15</v>
      </c>
      <c r="J359" s="34" t="str">
        <f>IF(E359="","",raw_data!C351)</f>
        <v/>
      </c>
      <c r="K359" s="46"/>
      <c r="L359" s="87"/>
      <c r="M359" s="19" t="str">
        <f>IF(E359="","",raw_data!F351)</f>
        <v/>
      </c>
      <c r="N359" s="20" t="str">
        <f t="shared" si="16"/>
        <v/>
      </c>
      <c r="O359" s="90"/>
      <c r="P359" s="91"/>
      <c r="Q359" s="91"/>
      <c r="R359" s="91"/>
      <c r="S359" s="41" t="str">
        <f t="shared" si="15"/>
        <v/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2.75" customHeight="1" x14ac:dyDescent="0.2">
      <c r="A360" s="9">
        <v>19058</v>
      </c>
      <c r="B360" s="9" t="s">
        <v>82</v>
      </c>
      <c r="C360" s="9" t="s">
        <v>360</v>
      </c>
      <c r="D360" s="23"/>
      <c r="E360" s="42"/>
      <c r="F360" s="43"/>
      <c r="G360" s="42"/>
      <c r="H360" s="43"/>
      <c r="I360" s="25" t="s">
        <v>15</v>
      </c>
      <c r="J360" s="34" t="str">
        <f>IF(E360="","",raw_data!C352)</f>
        <v/>
      </c>
      <c r="K360" s="46"/>
      <c r="L360" s="87"/>
      <c r="M360" s="19" t="str">
        <f>IF(E360="","",raw_data!F352)</f>
        <v/>
      </c>
      <c r="N360" s="20" t="str">
        <f t="shared" si="16"/>
        <v/>
      </c>
      <c r="O360" s="90"/>
      <c r="P360" s="91"/>
      <c r="Q360" s="91"/>
      <c r="R360" s="91"/>
      <c r="S360" s="41" t="str">
        <f t="shared" si="15"/>
        <v/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2.75" customHeight="1" x14ac:dyDescent="0.2">
      <c r="A361" s="9">
        <v>19059</v>
      </c>
      <c r="B361" s="9" t="s">
        <v>82</v>
      </c>
      <c r="C361" s="9" t="s">
        <v>361</v>
      </c>
      <c r="D361" s="23"/>
      <c r="E361" s="42"/>
      <c r="F361" s="43"/>
      <c r="G361" s="42"/>
      <c r="H361" s="43"/>
      <c r="I361" s="25" t="s">
        <v>15</v>
      </c>
      <c r="J361" s="34" t="str">
        <f>IF(E361="","",raw_data!C353)</f>
        <v/>
      </c>
      <c r="K361" s="46"/>
      <c r="L361" s="87"/>
      <c r="M361" s="19" t="str">
        <f>IF(E361="","",raw_data!F353)</f>
        <v/>
      </c>
      <c r="N361" s="20" t="str">
        <f t="shared" si="16"/>
        <v/>
      </c>
      <c r="O361" s="90"/>
      <c r="P361" s="91"/>
      <c r="Q361" s="91"/>
      <c r="R361" s="91"/>
      <c r="S361" s="41" t="str">
        <f t="shared" si="15"/>
        <v/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2.75" customHeight="1" x14ac:dyDescent="0.2">
      <c r="A362" s="9">
        <v>19060</v>
      </c>
      <c r="B362" s="9" t="s">
        <v>82</v>
      </c>
      <c r="C362" s="9" t="s">
        <v>362</v>
      </c>
      <c r="D362" s="23"/>
      <c r="E362" s="42"/>
      <c r="F362" s="43"/>
      <c r="G362" s="42"/>
      <c r="H362" s="43"/>
      <c r="I362" s="25" t="s">
        <v>15</v>
      </c>
      <c r="J362" s="34" t="str">
        <f>IF(E362="","",raw_data!C354)</f>
        <v/>
      </c>
      <c r="K362" s="46"/>
      <c r="L362" s="87"/>
      <c r="M362" s="19" t="str">
        <f>IF(E362="","",raw_data!F354)</f>
        <v/>
      </c>
      <c r="N362" s="20" t="str">
        <f t="shared" si="16"/>
        <v/>
      </c>
      <c r="O362" s="90"/>
      <c r="P362" s="91"/>
      <c r="Q362" s="91"/>
      <c r="R362" s="91"/>
      <c r="S362" s="41" t="str">
        <f t="shared" si="15"/>
        <v/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2.75" customHeight="1" x14ac:dyDescent="0.2">
      <c r="A363" s="9">
        <v>19061</v>
      </c>
      <c r="B363" s="9" t="s">
        <v>82</v>
      </c>
      <c r="C363" s="9" t="s">
        <v>363</v>
      </c>
      <c r="D363" s="23"/>
      <c r="E363" s="42"/>
      <c r="F363" s="43"/>
      <c r="G363" s="42"/>
      <c r="H363" s="43"/>
      <c r="I363" s="25" t="s">
        <v>15</v>
      </c>
      <c r="J363" s="34" t="str">
        <f>IF(E363="","",raw_data!C355)</f>
        <v/>
      </c>
      <c r="K363" s="46"/>
      <c r="L363" s="87"/>
      <c r="M363" s="19" t="str">
        <f>IF(E363="","",raw_data!F355)</f>
        <v/>
      </c>
      <c r="N363" s="20" t="str">
        <f t="shared" si="16"/>
        <v/>
      </c>
      <c r="O363" s="90"/>
      <c r="P363" s="91"/>
      <c r="Q363" s="91"/>
      <c r="R363" s="91"/>
      <c r="S363" s="41" t="str">
        <f t="shared" si="15"/>
        <v/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2.75" customHeight="1" x14ac:dyDescent="0.2">
      <c r="A364" s="9">
        <v>19062</v>
      </c>
      <c r="B364" s="9" t="s">
        <v>82</v>
      </c>
      <c r="C364" s="9" t="s">
        <v>246</v>
      </c>
      <c r="D364" s="23"/>
      <c r="E364" s="42"/>
      <c r="F364" s="43"/>
      <c r="G364" s="42"/>
      <c r="H364" s="43"/>
      <c r="I364" s="25" t="s">
        <v>15</v>
      </c>
      <c r="J364" s="34" t="str">
        <f>IF(E364="","",raw_data!C356)</f>
        <v/>
      </c>
      <c r="K364" s="46"/>
      <c r="L364" s="87"/>
      <c r="M364" s="19" t="str">
        <f>IF(E364="","",raw_data!F356)</f>
        <v/>
      </c>
      <c r="N364" s="20" t="str">
        <f t="shared" si="16"/>
        <v/>
      </c>
      <c r="O364" s="90"/>
      <c r="P364" s="91"/>
      <c r="Q364" s="91"/>
      <c r="R364" s="91"/>
      <c r="S364" s="41" t="str">
        <f t="shared" si="15"/>
        <v/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2.75" customHeight="1" x14ac:dyDescent="0.2">
      <c r="A365" s="9">
        <v>19063</v>
      </c>
      <c r="B365" s="9" t="s">
        <v>82</v>
      </c>
      <c r="C365" s="9" t="s">
        <v>247</v>
      </c>
      <c r="D365" s="23"/>
      <c r="E365" s="42"/>
      <c r="F365" s="43"/>
      <c r="G365" s="42"/>
      <c r="H365" s="43"/>
      <c r="I365" s="25" t="s">
        <v>15</v>
      </c>
      <c r="J365" s="34" t="str">
        <f>IF(E365="","",raw_data!C357)</f>
        <v/>
      </c>
      <c r="K365" s="46"/>
      <c r="L365" s="87"/>
      <c r="M365" s="19" t="str">
        <f>IF(E365="","",raw_data!F357)</f>
        <v/>
      </c>
      <c r="N365" s="20" t="str">
        <f t="shared" si="16"/>
        <v/>
      </c>
      <c r="O365" s="90"/>
      <c r="P365" s="91"/>
      <c r="Q365" s="91"/>
      <c r="R365" s="91"/>
      <c r="S365" s="41" t="str">
        <f t="shared" si="15"/>
        <v/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2.75" customHeight="1" x14ac:dyDescent="0.2">
      <c r="A366" s="9">
        <v>19064</v>
      </c>
      <c r="B366" s="9" t="s">
        <v>82</v>
      </c>
      <c r="C366" s="9" t="s">
        <v>248</v>
      </c>
      <c r="D366" s="23"/>
      <c r="E366" s="42"/>
      <c r="F366" s="43"/>
      <c r="G366" s="42"/>
      <c r="H366" s="43"/>
      <c r="I366" s="25" t="s">
        <v>15</v>
      </c>
      <c r="J366" s="34" t="str">
        <f>IF(E366="","",raw_data!C358)</f>
        <v/>
      </c>
      <c r="K366" s="46"/>
      <c r="L366" s="87"/>
      <c r="M366" s="19" t="str">
        <f>IF(E366="","",raw_data!F358)</f>
        <v/>
      </c>
      <c r="N366" s="20" t="str">
        <f t="shared" si="16"/>
        <v/>
      </c>
      <c r="O366" s="90"/>
      <c r="P366" s="91"/>
      <c r="Q366" s="91"/>
      <c r="R366" s="91"/>
      <c r="S366" s="41" t="str">
        <f t="shared" si="15"/>
        <v/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2.75" customHeight="1" x14ac:dyDescent="0.2">
      <c r="A367" s="9">
        <v>19065</v>
      </c>
      <c r="B367" s="9" t="s">
        <v>82</v>
      </c>
      <c r="C367" s="9" t="s">
        <v>9</v>
      </c>
      <c r="D367" s="23"/>
      <c r="E367" s="42"/>
      <c r="F367" s="43"/>
      <c r="G367" s="42"/>
      <c r="H367" s="43"/>
      <c r="I367" s="25" t="s">
        <v>15</v>
      </c>
      <c r="J367" s="34" t="str">
        <f>IF(E367="","",raw_data!C359)</f>
        <v/>
      </c>
      <c r="K367" s="46"/>
      <c r="L367" s="87"/>
      <c r="M367" s="19" t="str">
        <f>IF(E367="","",raw_data!F359)</f>
        <v/>
      </c>
      <c r="N367" s="20" t="str">
        <f t="shared" si="16"/>
        <v/>
      </c>
      <c r="O367" s="90"/>
      <c r="P367" s="91"/>
      <c r="Q367" s="91"/>
      <c r="R367" s="91"/>
      <c r="S367" s="41" t="str">
        <f t="shared" si="15"/>
        <v/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2.75" customHeight="1" x14ac:dyDescent="0.2">
      <c r="A368" s="9">
        <v>19066</v>
      </c>
      <c r="B368" s="9" t="s">
        <v>82</v>
      </c>
      <c r="C368" s="9" t="s">
        <v>241</v>
      </c>
      <c r="D368" s="23"/>
      <c r="E368" s="42">
        <v>1</v>
      </c>
      <c r="F368" s="43"/>
      <c r="G368" s="42" t="s">
        <v>155</v>
      </c>
      <c r="H368" s="43"/>
      <c r="I368" s="25" t="s">
        <v>15</v>
      </c>
      <c r="J368" s="34">
        <f>IF(E368="","",raw_data!C360)</f>
        <v>0</v>
      </c>
      <c r="K368" s="46"/>
      <c r="L368" s="87"/>
      <c r="M368" s="19">
        <f>IF(E368="","",raw_data!F360)</f>
        <v>0</v>
      </c>
      <c r="N368" s="20" t="str">
        <f t="shared" si="16"/>
        <v>-</v>
      </c>
      <c r="O368" s="90"/>
      <c r="P368" s="91"/>
      <c r="Q368" s="91"/>
      <c r="R368" s="91"/>
      <c r="S368" s="41" t="str">
        <f t="shared" si="15"/>
        <v>erfüllt</v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2.75" customHeight="1" x14ac:dyDescent="0.2">
      <c r="A369" s="9">
        <v>19067</v>
      </c>
      <c r="B369" s="9" t="s">
        <v>82</v>
      </c>
      <c r="C369" s="9" t="s">
        <v>79</v>
      </c>
      <c r="D369" s="23"/>
      <c r="E369" s="42">
        <v>1</v>
      </c>
      <c r="F369" s="43"/>
      <c r="G369" s="42" t="s">
        <v>155</v>
      </c>
      <c r="H369" s="43"/>
      <c r="I369" s="25" t="s">
        <v>15</v>
      </c>
      <c r="J369" s="34">
        <f>IF(E369="","",raw_data!C361)</f>
        <v>0</v>
      </c>
      <c r="K369" s="46"/>
      <c r="L369" s="87"/>
      <c r="M369" s="19">
        <f>IF(E369="","",raw_data!F361)</f>
        <v>0</v>
      </c>
      <c r="N369" s="20" t="str">
        <f t="shared" si="16"/>
        <v>-</v>
      </c>
      <c r="O369" s="90"/>
      <c r="P369" s="91"/>
      <c r="Q369" s="91"/>
      <c r="R369" s="91"/>
      <c r="S369" s="41" t="str">
        <f t="shared" si="15"/>
        <v>erfüllt</v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2.75" customHeight="1" x14ac:dyDescent="0.2">
      <c r="A370" s="9">
        <v>19068</v>
      </c>
      <c r="B370" s="9" t="s">
        <v>82</v>
      </c>
      <c r="C370" s="9" t="s">
        <v>242</v>
      </c>
      <c r="D370" s="23"/>
      <c r="E370" s="42"/>
      <c r="F370" s="43"/>
      <c r="G370" s="42"/>
      <c r="H370" s="43"/>
      <c r="I370" s="25" t="s">
        <v>15</v>
      </c>
      <c r="J370" s="34" t="str">
        <f>IF(E370="","",raw_data!C362)</f>
        <v/>
      </c>
      <c r="K370" s="46"/>
      <c r="L370" s="87"/>
      <c r="M370" s="19" t="str">
        <f>IF(E370="","",raw_data!F362)</f>
        <v/>
      </c>
      <c r="N370" s="20" t="str">
        <f t="shared" si="16"/>
        <v/>
      </c>
      <c r="O370" s="90"/>
      <c r="P370" s="91"/>
      <c r="Q370" s="91"/>
      <c r="R370" s="91"/>
      <c r="S370" s="41" t="str">
        <f t="shared" si="15"/>
        <v/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2.75" customHeight="1" x14ac:dyDescent="0.2">
      <c r="A371" s="9">
        <v>19069</v>
      </c>
      <c r="B371" s="9" t="s">
        <v>82</v>
      </c>
      <c r="C371" s="9" t="s">
        <v>80</v>
      </c>
      <c r="D371" s="23"/>
      <c r="E371" s="42">
        <v>1</v>
      </c>
      <c r="F371" s="43"/>
      <c r="G371" s="42" t="s">
        <v>155</v>
      </c>
      <c r="H371" s="43"/>
      <c r="I371" s="25" t="s">
        <v>15</v>
      </c>
      <c r="J371" s="34">
        <f>IF(E371="","",raw_data!C363)</f>
        <v>0</v>
      </c>
      <c r="K371" s="46"/>
      <c r="L371" s="87"/>
      <c r="M371" s="19">
        <f>IF(E371="","",raw_data!F363)</f>
        <v>0</v>
      </c>
      <c r="N371" s="20" t="str">
        <f t="shared" si="16"/>
        <v>-</v>
      </c>
      <c r="O371" s="90"/>
      <c r="P371" s="91"/>
      <c r="Q371" s="91"/>
      <c r="R371" s="91"/>
      <c r="S371" s="41" t="str">
        <f t="shared" si="15"/>
        <v>erfüllt</v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2.75" customHeight="1" x14ac:dyDescent="0.2">
      <c r="A372" s="9">
        <v>19070</v>
      </c>
      <c r="B372" s="9" t="s">
        <v>82</v>
      </c>
      <c r="C372" s="9" t="s">
        <v>81</v>
      </c>
      <c r="D372" s="23"/>
      <c r="E372" s="42">
        <v>1</v>
      </c>
      <c r="F372" s="43"/>
      <c r="G372" s="42" t="s">
        <v>155</v>
      </c>
      <c r="H372" s="43"/>
      <c r="I372" s="25" t="s">
        <v>15</v>
      </c>
      <c r="J372" s="34">
        <f>IF(E372="","",raw_data!C364)</f>
        <v>0</v>
      </c>
      <c r="K372" s="46"/>
      <c r="L372" s="87"/>
      <c r="M372" s="19">
        <f>IF(E372="","",raw_data!F364)</f>
        <v>0</v>
      </c>
      <c r="N372" s="20" t="str">
        <f t="shared" si="16"/>
        <v>-</v>
      </c>
      <c r="O372" s="90"/>
      <c r="P372" s="91"/>
      <c r="Q372" s="91"/>
      <c r="R372" s="91"/>
      <c r="S372" s="41" t="str">
        <f t="shared" si="15"/>
        <v>erfüllt</v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2.75" customHeight="1" x14ac:dyDescent="0.2">
      <c r="A373" s="9">
        <v>19071</v>
      </c>
      <c r="B373" s="9" t="s">
        <v>82</v>
      </c>
      <c r="C373" s="9" t="s">
        <v>193</v>
      </c>
      <c r="D373" s="23"/>
      <c r="E373" s="42">
        <v>1</v>
      </c>
      <c r="F373" s="43"/>
      <c r="G373" s="42" t="s">
        <v>155</v>
      </c>
      <c r="H373" s="43"/>
      <c r="I373" s="25" t="s">
        <v>15</v>
      </c>
      <c r="J373" s="34">
        <f>IF(E373="","",raw_data!C365)</f>
        <v>0</v>
      </c>
      <c r="K373" s="46"/>
      <c r="L373" s="87"/>
      <c r="M373" s="19">
        <f>IF(E373="","",raw_data!F365)</f>
        <v>0</v>
      </c>
      <c r="N373" s="20" t="str">
        <f t="shared" si="16"/>
        <v>-</v>
      </c>
      <c r="O373" s="90"/>
      <c r="P373" s="91"/>
      <c r="Q373" s="91"/>
      <c r="R373" s="91"/>
      <c r="S373" s="41" t="str">
        <f t="shared" si="15"/>
        <v>erfüllt</v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2.75" customHeight="1" x14ac:dyDescent="0.2">
      <c r="A374" s="9">
        <v>19072</v>
      </c>
      <c r="B374" s="9" t="s">
        <v>82</v>
      </c>
      <c r="C374" s="9" t="s">
        <v>56</v>
      </c>
      <c r="D374" s="23"/>
      <c r="E374" s="42">
        <v>1</v>
      </c>
      <c r="F374" s="43"/>
      <c r="G374" s="42" t="s">
        <v>155</v>
      </c>
      <c r="H374" s="43"/>
      <c r="I374" s="25" t="s">
        <v>15</v>
      </c>
      <c r="J374" s="34">
        <f>IF(E374="","",raw_data!C366)</f>
        <v>0</v>
      </c>
      <c r="K374" s="46"/>
      <c r="L374" s="87"/>
      <c r="M374" s="19">
        <f>IF(E374="","",raw_data!F366)</f>
        <v>0</v>
      </c>
      <c r="N374" s="20" t="str">
        <f t="shared" si="16"/>
        <v>-</v>
      </c>
      <c r="O374" s="90"/>
      <c r="P374" s="91"/>
      <c r="Q374" s="91"/>
      <c r="R374" s="91"/>
      <c r="S374" s="41" t="str">
        <f t="shared" si="15"/>
        <v>erfüllt</v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2.75" customHeight="1" x14ac:dyDescent="0.2">
      <c r="A375" s="9">
        <v>19073</v>
      </c>
      <c r="B375" s="9" t="s">
        <v>83</v>
      </c>
      <c r="C375" s="9" t="s">
        <v>77</v>
      </c>
      <c r="D375" s="23"/>
      <c r="E375" s="42"/>
      <c r="F375" s="43"/>
      <c r="G375" s="42"/>
      <c r="H375" s="43"/>
      <c r="I375" s="25" t="s">
        <v>15</v>
      </c>
      <c r="J375" s="34" t="str">
        <f>IF(E375="","",raw_data!C367)</f>
        <v/>
      </c>
      <c r="K375" s="46"/>
      <c r="L375" s="87"/>
      <c r="M375" s="19" t="str">
        <f>IF(E375="","",raw_data!F367)</f>
        <v/>
      </c>
      <c r="N375" s="20" t="str">
        <f t="shared" si="16"/>
        <v/>
      </c>
      <c r="O375" s="90"/>
      <c r="P375" s="91"/>
      <c r="Q375" s="91"/>
      <c r="R375" s="91"/>
      <c r="S375" s="41" t="str">
        <f t="shared" si="15"/>
        <v/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2.75" customHeight="1" x14ac:dyDescent="0.2">
      <c r="A376" s="9">
        <v>19074</v>
      </c>
      <c r="B376" s="9" t="s">
        <v>83</v>
      </c>
      <c r="C376" s="9" t="s">
        <v>249</v>
      </c>
      <c r="D376" s="23"/>
      <c r="E376" s="42">
        <v>1</v>
      </c>
      <c r="F376" s="43"/>
      <c r="G376" s="42" t="s">
        <v>155</v>
      </c>
      <c r="H376" s="43"/>
      <c r="I376" s="25" t="s">
        <v>15</v>
      </c>
      <c r="J376" s="34">
        <f>IF(E376="","",raw_data!C368)</f>
        <v>0</v>
      </c>
      <c r="K376" s="46"/>
      <c r="L376" s="87"/>
      <c r="M376" s="19">
        <f>IF(E376="","",raw_data!F368)</f>
        <v>0</v>
      </c>
      <c r="N376" s="20" t="str">
        <f t="shared" si="16"/>
        <v>-</v>
      </c>
      <c r="O376" s="90"/>
      <c r="P376" s="91"/>
      <c r="Q376" s="91"/>
      <c r="R376" s="91"/>
      <c r="S376" s="41" t="str">
        <f t="shared" si="15"/>
        <v>erfüllt</v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2.75" customHeight="1" x14ac:dyDescent="0.2">
      <c r="A377" s="9">
        <v>19075</v>
      </c>
      <c r="B377" s="9" t="s">
        <v>83</v>
      </c>
      <c r="C377" s="9" t="s">
        <v>84</v>
      </c>
      <c r="D377" s="23"/>
      <c r="E377" s="42"/>
      <c r="F377" s="43"/>
      <c r="G377" s="42"/>
      <c r="H377" s="43"/>
      <c r="I377" s="25" t="s">
        <v>15</v>
      </c>
      <c r="J377" s="34" t="str">
        <f>IF(E377="","",raw_data!C369)</f>
        <v/>
      </c>
      <c r="K377" s="46"/>
      <c r="L377" s="87"/>
      <c r="M377" s="19" t="str">
        <f>IF(E377="","",raw_data!F369)</f>
        <v/>
      </c>
      <c r="N377" s="20" t="str">
        <f t="shared" si="16"/>
        <v/>
      </c>
      <c r="O377" s="90"/>
      <c r="P377" s="91"/>
      <c r="Q377" s="91"/>
      <c r="R377" s="91"/>
      <c r="S377" s="41" t="str">
        <f t="shared" si="15"/>
        <v/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2.75" customHeight="1" x14ac:dyDescent="0.2">
      <c r="A378" s="9">
        <v>19076</v>
      </c>
      <c r="B378" s="9" t="s">
        <v>83</v>
      </c>
      <c r="C378" s="9" t="s">
        <v>85</v>
      </c>
      <c r="D378" s="23"/>
      <c r="E378" s="42">
        <v>1</v>
      </c>
      <c r="F378" s="43"/>
      <c r="G378" s="42" t="s">
        <v>155</v>
      </c>
      <c r="H378" s="43"/>
      <c r="I378" s="25" t="s">
        <v>15</v>
      </c>
      <c r="J378" s="34">
        <f>IF(E378="","",raw_data!C370)</f>
        <v>0</v>
      </c>
      <c r="K378" s="46"/>
      <c r="L378" s="87"/>
      <c r="M378" s="19">
        <f>IF(E378="","",raw_data!F370)</f>
        <v>0</v>
      </c>
      <c r="N378" s="20" t="str">
        <f t="shared" si="16"/>
        <v>-</v>
      </c>
      <c r="O378" s="90"/>
      <c r="P378" s="91"/>
      <c r="Q378" s="91"/>
      <c r="R378" s="91"/>
      <c r="S378" s="41" t="str">
        <f t="shared" si="15"/>
        <v>erfüllt</v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2.75" customHeight="1" x14ac:dyDescent="0.2">
      <c r="A379" s="9">
        <v>19077</v>
      </c>
      <c r="B379" s="9" t="s">
        <v>83</v>
      </c>
      <c r="C379" s="9" t="s">
        <v>19</v>
      </c>
      <c r="D379" s="23"/>
      <c r="E379" s="42"/>
      <c r="F379" s="43"/>
      <c r="G379" s="42"/>
      <c r="H379" s="43"/>
      <c r="I379" s="25" t="s">
        <v>15</v>
      </c>
      <c r="J379" s="34" t="str">
        <f>IF(E379="","",raw_data!C371)</f>
        <v/>
      </c>
      <c r="K379" s="46"/>
      <c r="L379" s="87"/>
      <c r="M379" s="19" t="str">
        <f>IF(E379="","",raw_data!F371)</f>
        <v/>
      </c>
      <c r="N379" s="20" t="str">
        <f t="shared" si="16"/>
        <v/>
      </c>
      <c r="O379" s="90"/>
      <c r="P379" s="91"/>
      <c r="Q379" s="91"/>
      <c r="R379" s="91"/>
      <c r="S379" s="41" t="str">
        <f t="shared" si="15"/>
        <v/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2.75" customHeight="1" x14ac:dyDescent="0.2">
      <c r="A380" s="9">
        <v>19078</v>
      </c>
      <c r="B380" s="9" t="s">
        <v>83</v>
      </c>
      <c r="C380" s="9" t="s">
        <v>250</v>
      </c>
      <c r="D380" s="23"/>
      <c r="E380" s="42"/>
      <c r="F380" s="43"/>
      <c r="G380" s="42"/>
      <c r="H380" s="43"/>
      <c r="I380" s="25" t="s">
        <v>15</v>
      </c>
      <c r="J380" s="34" t="str">
        <f>IF(E380="","",raw_data!C372)</f>
        <v/>
      </c>
      <c r="K380" s="46"/>
      <c r="L380" s="87"/>
      <c r="M380" s="19" t="str">
        <f>IF(E380="","",raw_data!F372)</f>
        <v/>
      </c>
      <c r="N380" s="20" t="str">
        <f t="shared" si="16"/>
        <v/>
      </c>
      <c r="O380" s="90"/>
      <c r="P380" s="91"/>
      <c r="Q380" s="91"/>
      <c r="R380" s="91"/>
      <c r="S380" s="41" t="str">
        <f t="shared" si="15"/>
        <v/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2.75" customHeight="1" x14ac:dyDescent="0.2">
      <c r="A381" s="9">
        <v>19079</v>
      </c>
      <c r="B381" s="9" t="s">
        <v>83</v>
      </c>
      <c r="C381" s="9" t="s">
        <v>251</v>
      </c>
      <c r="D381" s="23"/>
      <c r="E381" s="42"/>
      <c r="F381" s="43"/>
      <c r="G381" s="42"/>
      <c r="H381" s="43"/>
      <c r="I381" s="25" t="s">
        <v>15</v>
      </c>
      <c r="J381" s="34" t="str">
        <f>IF(E381="","",raw_data!C373)</f>
        <v/>
      </c>
      <c r="K381" s="46"/>
      <c r="L381" s="87"/>
      <c r="M381" s="19" t="str">
        <f>IF(E381="","",raw_data!F373)</f>
        <v/>
      </c>
      <c r="N381" s="20" t="str">
        <f t="shared" si="16"/>
        <v/>
      </c>
      <c r="O381" s="90"/>
      <c r="P381" s="91"/>
      <c r="Q381" s="91"/>
      <c r="R381" s="91"/>
      <c r="S381" s="41" t="str">
        <f t="shared" si="15"/>
        <v/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2.75" customHeight="1" x14ac:dyDescent="0.2">
      <c r="A382" s="9">
        <v>19080</v>
      </c>
      <c r="B382" s="9" t="s">
        <v>83</v>
      </c>
      <c r="C382" s="9" t="s">
        <v>240</v>
      </c>
      <c r="D382" s="23"/>
      <c r="E382" s="42">
        <v>1</v>
      </c>
      <c r="F382" s="43"/>
      <c r="G382" s="42" t="s">
        <v>155</v>
      </c>
      <c r="H382" s="43"/>
      <c r="I382" s="25" t="s">
        <v>15</v>
      </c>
      <c r="J382" s="34">
        <f>IF(E382="","",raw_data!C374)</f>
        <v>0</v>
      </c>
      <c r="K382" s="46"/>
      <c r="L382" s="87"/>
      <c r="M382" s="19">
        <f>IF(E382="","",raw_data!F374)</f>
        <v>0</v>
      </c>
      <c r="N382" s="20" t="str">
        <f t="shared" si="16"/>
        <v>-</v>
      </c>
      <c r="O382" s="90"/>
      <c r="P382" s="91"/>
      <c r="Q382" s="91"/>
      <c r="R382" s="91"/>
      <c r="S382" s="41" t="str">
        <f t="shared" si="15"/>
        <v>erfüllt</v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2.75" customHeight="1" x14ac:dyDescent="0.2">
      <c r="A383" s="9">
        <v>19081</v>
      </c>
      <c r="B383" s="9" t="s">
        <v>83</v>
      </c>
      <c r="C383" s="9" t="s">
        <v>160</v>
      </c>
      <c r="D383" s="23"/>
      <c r="E383" s="42"/>
      <c r="F383" s="43"/>
      <c r="G383" s="42"/>
      <c r="H383" s="43"/>
      <c r="I383" s="25" t="s">
        <v>15</v>
      </c>
      <c r="J383" s="34" t="str">
        <f>IF(E383="","",raw_data!C375)</f>
        <v/>
      </c>
      <c r="K383" s="46"/>
      <c r="L383" s="87"/>
      <c r="M383" s="19" t="str">
        <f>IF(E383="","",raw_data!F375)</f>
        <v/>
      </c>
      <c r="N383" s="20" t="str">
        <f t="shared" si="16"/>
        <v/>
      </c>
      <c r="O383" s="90"/>
      <c r="P383" s="91"/>
      <c r="Q383" s="91"/>
      <c r="R383" s="91"/>
      <c r="S383" s="41" t="str">
        <f t="shared" si="15"/>
        <v/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2.75" customHeight="1" x14ac:dyDescent="0.2">
      <c r="A384" s="9">
        <v>19082</v>
      </c>
      <c r="B384" s="9" t="s">
        <v>83</v>
      </c>
      <c r="C384" s="9" t="s">
        <v>161</v>
      </c>
      <c r="D384" s="23"/>
      <c r="E384" s="42"/>
      <c r="F384" s="43"/>
      <c r="G384" s="42"/>
      <c r="H384" s="43"/>
      <c r="I384" s="25" t="s">
        <v>15</v>
      </c>
      <c r="J384" s="34" t="str">
        <f>IF(E384="","",raw_data!C376)</f>
        <v/>
      </c>
      <c r="K384" s="46"/>
      <c r="L384" s="87"/>
      <c r="M384" s="19" t="str">
        <f>IF(E384="","",raw_data!F376)</f>
        <v/>
      </c>
      <c r="N384" s="20" t="str">
        <f t="shared" si="16"/>
        <v/>
      </c>
      <c r="O384" s="90"/>
      <c r="P384" s="91"/>
      <c r="Q384" s="91"/>
      <c r="R384" s="91"/>
      <c r="S384" s="41" t="str">
        <f t="shared" si="15"/>
        <v/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2.75" customHeight="1" x14ac:dyDescent="0.2">
      <c r="A385" s="9">
        <v>19083</v>
      </c>
      <c r="B385" s="9" t="s">
        <v>83</v>
      </c>
      <c r="C385" s="9" t="s">
        <v>252</v>
      </c>
      <c r="D385" s="23"/>
      <c r="E385" s="42"/>
      <c r="F385" s="43"/>
      <c r="G385" s="42"/>
      <c r="H385" s="43"/>
      <c r="I385" s="25" t="s">
        <v>15</v>
      </c>
      <c r="J385" s="34" t="str">
        <f>IF(E385="","",raw_data!C377)</f>
        <v/>
      </c>
      <c r="K385" s="46"/>
      <c r="L385" s="87"/>
      <c r="M385" s="19" t="str">
        <f>IF(E385="","",raw_data!F377)</f>
        <v/>
      </c>
      <c r="N385" s="20" t="str">
        <f t="shared" si="16"/>
        <v/>
      </c>
      <c r="O385" s="90"/>
      <c r="P385" s="91"/>
      <c r="Q385" s="91"/>
      <c r="R385" s="91"/>
      <c r="S385" s="41" t="str">
        <f t="shared" si="15"/>
        <v/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2.75" customHeight="1" x14ac:dyDescent="0.2">
      <c r="A386" s="9">
        <v>19084</v>
      </c>
      <c r="B386" s="9" t="s">
        <v>83</v>
      </c>
      <c r="C386" s="9" t="s">
        <v>86</v>
      </c>
      <c r="D386" s="23"/>
      <c r="E386" s="42">
        <v>1</v>
      </c>
      <c r="F386" s="43"/>
      <c r="G386" s="42" t="s">
        <v>155</v>
      </c>
      <c r="H386" s="43"/>
      <c r="I386" s="25" t="s">
        <v>15</v>
      </c>
      <c r="J386" s="34">
        <f>IF(E386="","",raw_data!C378)</f>
        <v>0</v>
      </c>
      <c r="K386" s="46"/>
      <c r="L386" s="87"/>
      <c r="M386" s="19">
        <f>IF(E386="","",raw_data!F378)</f>
        <v>0</v>
      </c>
      <c r="N386" s="20" t="str">
        <f t="shared" si="16"/>
        <v>-</v>
      </c>
      <c r="O386" s="90"/>
      <c r="P386" s="91"/>
      <c r="Q386" s="91"/>
      <c r="R386" s="91"/>
      <c r="S386" s="41" t="str">
        <f t="shared" si="15"/>
        <v>erfüllt</v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2.75" customHeight="1" x14ac:dyDescent="0.2">
      <c r="A387" s="9">
        <v>19085</v>
      </c>
      <c r="B387" s="9" t="s">
        <v>83</v>
      </c>
      <c r="C387" s="9" t="s">
        <v>87</v>
      </c>
      <c r="D387" s="23"/>
      <c r="E387" s="42"/>
      <c r="F387" s="43"/>
      <c r="G387" s="42"/>
      <c r="H387" s="43"/>
      <c r="I387" s="25" t="s">
        <v>15</v>
      </c>
      <c r="J387" s="34" t="str">
        <f>IF(E387="","",raw_data!C379)</f>
        <v/>
      </c>
      <c r="K387" s="46"/>
      <c r="L387" s="87"/>
      <c r="M387" s="19" t="str">
        <f>IF(E387="","",raw_data!F379)</f>
        <v/>
      </c>
      <c r="N387" s="20" t="str">
        <f t="shared" si="16"/>
        <v/>
      </c>
      <c r="O387" s="90"/>
      <c r="P387" s="91"/>
      <c r="Q387" s="91"/>
      <c r="R387" s="91"/>
      <c r="S387" s="41" t="str">
        <f t="shared" si="15"/>
        <v/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2.75" customHeight="1" x14ac:dyDescent="0.2">
      <c r="A388" s="9">
        <v>19086</v>
      </c>
      <c r="B388" s="9" t="s">
        <v>83</v>
      </c>
      <c r="C388" s="9" t="s">
        <v>88</v>
      </c>
      <c r="D388" s="23"/>
      <c r="E388" s="42"/>
      <c r="F388" s="43"/>
      <c r="G388" s="42"/>
      <c r="H388" s="43"/>
      <c r="I388" s="25" t="s">
        <v>15</v>
      </c>
      <c r="J388" s="34" t="str">
        <f>IF(E388="","",raw_data!C380)</f>
        <v/>
      </c>
      <c r="K388" s="46"/>
      <c r="L388" s="87"/>
      <c r="M388" s="19" t="str">
        <f>IF(E388="","",raw_data!F380)</f>
        <v/>
      </c>
      <c r="N388" s="20" t="str">
        <f t="shared" si="16"/>
        <v/>
      </c>
      <c r="O388" s="90"/>
      <c r="P388" s="91"/>
      <c r="Q388" s="91"/>
      <c r="R388" s="91"/>
      <c r="S388" s="41" t="str">
        <f t="shared" si="15"/>
        <v/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2.75" customHeight="1" x14ac:dyDescent="0.2">
      <c r="A389" s="9">
        <v>19087</v>
      </c>
      <c r="B389" s="9" t="s">
        <v>83</v>
      </c>
      <c r="C389" s="9" t="s">
        <v>89</v>
      </c>
      <c r="D389" s="23"/>
      <c r="E389" s="42"/>
      <c r="F389" s="43"/>
      <c r="G389" s="42"/>
      <c r="H389" s="43"/>
      <c r="I389" s="25" t="s">
        <v>15</v>
      </c>
      <c r="J389" s="34" t="str">
        <f>IF(E389="","",raw_data!C381)</f>
        <v/>
      </c>
      <c r="K389" s="46"/>
      <c r="L389" s="87"/>
      <c r="M389" s="19" t="str">
        <f>IF(E389="","",raw_data!F381)</f>
        <v/>
      </c>
      <c r="N389" s="20" t="str">
        <f t="shared" si="16"/>
        <v/>
      </c>
      <c r="O389" s="90"/>
      <c r="P389" s="91"/>
      <c r="Q389" s="91"/>
      <c r="R389" s="91"/>
      <c r="S389" s="41" t="str">
        <f t="shared" si="15"/>
        <v/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2.75" customHeight="1" x14ac:dyDescent="0.2">
      <c r="A390" s="9">
        <v>19088</v>
      </c>
      <c r="B390" s="9" t="s">
        <v>83</v>
      </c>
      <c r="C390" s="9" t="s">
        <v>90</v>
      </c>
      <c r="D390" s="23"/>
      <c r="E390" s="42"/>
      <c r="F390" s="43"/>
      <c r="G390" s="42"/>
      <c r="H390" s="43"/>
      <c r="I390" s="25" t="s">
        <v>15</v>
      </c>
      <c r="J390" s="34" t="str">
        <f>IF(E390="","",raw_data!C382)</f>
        <v/>
      </c>
      <c r="K390" s="46"/>
      <c r="L390" s="87"/>
      <c r="M390" s="19" t="str">
        <f>IF(E390="","",raw_data!F382)</f>
        <v/>
      </c>
      <c r="N390" s="20" t="str">
        <f t="shared" si="16"/>
        <v/>
      </c>
      <c r="O390" s="90"/>
      <c r="P390" s="91"/>
      <c r="Q390" s="91"/>
      <c r="R390" s="91"/>
      <c r="S390" s="41" t="str">
        <f t="shared" si="15"/>
        <v/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2.75" customHeight="1" x14ac:dyDescent="0.2">
      <c r="A391" s="9">
        <v>19089</v>
      </c>
      <c r="B391" s="9" t="s">
        <v>83</v>
      </c>
      <c r="C391" s="9" t="s">
        <v>91</v>
      </c>
      <c r="D391" s="23"/>
      <c r="E391" s="42">
        <v>1</v>
      </c>
      <c r="F391" s="43"/>
      <c r="G391" s="42" t="s">
        <v>155</v>
      </c>
      <c r="H391" s="43"/>
      <c r="I391" s="25" t="s">
        <v>15</v>
      </c>
      <c r="J391" s="34">
        <f>IF(E391="","",raw_data!C383)</f>
        <v>0</v>
      </c>
      <c r="K391" s="46"/>
      <c r="L391" s="87"/>
      <c r="M391" s="19">
        <f>IF(E391="","",raw_data!F383)</f>
        <v>0</v>
      </c>
      <c r="N391" s="20" t="str">
        <f t="shared" si="16"/>
        <v>-</v>
      </c>
      <c r="O391" s="90"/>
      <c r="P391" s="91"/>
      <c r="Q391" s="91"/>
      <c r="R391" s="91"/>
      <c r="S391" s="41" t="str">
        <f t="shared" si="15"/>
        <v>erfüllt</v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2.75" customHeight="1" x14ac:dyDescent="0.2">
      <c r="A392" s="9">
        <v>19090</v>
      </c>
      <c r="B392" s="9" t="s">
        <v>83</v>
      </c>
      <c r="C392" s="9" t="s">
        <v>253</v>
      </c>
      <c r="D392" s="23"/>
      <c r="E392" s="42"/>
      <c r="F392" s="43"/>
      <c r="G392" s="42"/>
      <c r="H392" s="43"/>
      <c r="I392" s="25" t="s">
        <v>15</v>
      </c>
      <c r="J392" s="34" t="str">
        <f>IF(E392="","",raw_data!C384)</f>
        <v/>
      </c>
      <c r="K392" s="46"/>
      <c r="L392" s="87"/>
      <c r="M392" s="19" t="str">
        <f>IF(E392="","",raw_data!F384)</f>
        <v/>
      </c>
      <c r="N392" s="20" t="str">
        <f t="shared" si="16"/>
        <v/>
      </c>
      <c r="O392" s="90"/>
      <c r="P392" s="91"/>
      <c r="Q392" s="91"/>
      <c r="R392" s="91"/>
      <c r="S392" s="41" t="str">
        <f t="shared" si="15"/>
        <v/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2.75" customHeight="1" x14ac:dyDescent="0.2">
      <c r="A393" s="9">
        <v>19091</v>
      </c>
      <c r="B393" s="9" t="s">
        <v>83</v>
      </c>
      <c r="C393" s="9" t="s">
        <v>254</v>
      </c>
      <c r="D393" s="23"/>
      <c r="E393" s="42"/>
      <c r="F393" s="43"/>
      <c r="G393" s="42"/>
      <c r="H393" s="43"/>
      <c r="I393" s="25" t="s">
        <v>15</v>
      </c>
      <c r="J393" s="34" t="str">
        <f>IF(E393="","",raw_data!C385)</f>
        <v/>
      </c>
      <c r="K393" s="46"/>
      <c r="L393" s="87"/>
      <c r="M393" s="19" t="str">
        <f>IF(E393="","",raw_data!F385)</f>
        <v/>
      </c>
      <c r="N393" s="20" t="str">
        <f t="shared" si="16"/>
        <v/>
      </c>
      <c r="O393" s="90"/>
      <c r="P393" s="91"/>
      <c r="Q393" s="91"/>
      <c r="R393" s="91"/>
      <c r="S393" s="41" t="str">
        <f t="shared" si="15"/>
        <v/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2.75" customHeight="1" x14ac:dyDescent="0.2">
      <c r="A394" s="9">
        <v>19092</v>
      </c>
      <c r="B394" s="9" t="s">
        <v>83</v>
      </c>
      <c r="C394" s="9" t="s">
        <v>255</v>
      </c>
      <c r="D394" s="23"/>
      <c r="E394" s="42"/>
      <c r="F394" s="43"/>
      <c r="G394" s="42"/>
      <c r="H394" s="43"/>
      <c r="I394" s="25" t="s">
        <v>15</v>
      </c>
      <c r="J394" s="34" t="str">
        <f>IF(E394="","",raw_data!C386)</f>
        <v/>
      </c>
      <c r="K394" s="46"/>
      <c r="L394" s="87"/>
      <c r="M394" s="19" t="str">
        <f>IF(E394="","",raw_data!F386)</f>
        <v/>
      </c>
      <c r="N394" s="20" t="str">
        <f t="shared" si="16"/>
        <v/>
      </c>
      <c r="O394" s="90"/>
      <c r="P394" s="91"/>
      <c r="Q394" s="91"/>
      <c r="R394" s="91"/>
      <c r="S394" s="41" t="str">
        <f t="shared" ref="S394:S457" si="17">IF(E394="","",IF(OR(NOT(ISNUMBER(N394)),N394&lt;=(1-E394)),"erfüllt",IF(G394="Fehler","mit Fehler",IF(G394="Warnung","mit Warnung",""))))</f>
        <v/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2.75" customHeight="1" x14ac:dyDescent="0.2">
      <c r="A395" s="9">
        <v>19093</v>
      </c>
      <c r="B395" s="9" t="s">
        <v>83</v>
      </c>
      <c r="C395" s="9" t="s">
        <v>62</v>
      </c>
      <c r="D395" s="23"/>
      <c r="E395" s="42">
        <v>1</v>
      </c>
      <c r="F395" s="43"/>
      <c r="G395" s="42" t="s">
        <v>155</v>
      </c>
      <c r="H395" s="43"/>
      <c r="I395" s="25" t="s">
        <v>15</v>
      </c>
      <c r="J395" s="34">
        <f>IF(E395="","",raw_data!C387)</f>
        <v>0</v>
      </c>
      <c r="K395" s="46"/>
      <c r="L395" s="87"/>
      <c r="M395" s="19">
        <f>IF(E395="","",raw_data!F387)</f>
        <v>0</v>
      </c>
      <c r="N395" s="20" t="str">
        <f t="shared" ref="N395:N458" si="18">IF(E395="","",IFERROR(M395/J395,"-"))</f>
        <v>-</v>
      </c>
      <c r="O395" s="90"/>
      <c r="P395" s="91"/>
      <c r="Q395" s="91"/>
      <c r="R395" s="91"/>
      <c r="S395" s="41" t="str">
        <f t="shared" si="17"/>
        <v>erfüllt</v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2.75" customHeight="1" x14ac:dyDescent="0.2">
      <c r="A396" s="9">
        <v>19094</v>
      </c>
      <c r="B396" s="9" t="s">
        <v>83</v>
      </c>
      <c r="C396" s="9" t="s">
        <v>346</v>
      </c>
      <c r="D396" s="23"/>
      <c r="E396" s="42"/>
      <c r="F396" s="43"/>
      <c r="G396" s="42"/>
      <c r="H396" s="43"/>
      <c r="I396" s="25" t="s">
        <v>15</v>
      </c>
      <c r="J396" s="34" t="str">
        <f>IF(E396="","",raw_data!C388)</f>
        <v/>
      </c>
      <c r="K396" s="46"/>
      <c r="L396" s="87"/>
      <c r="M396" s="19" t="str">
        <f>IF(E396="","",raw_data!F388)</f>
        <v/>
      </c>
      <c r="N396" s="20" t="str">
        <f t="shared" si="18"/>
        <v/>
      </c>
      <c r="O396" s="90"/>
      <c r="P396" s="91"/>
      <c r="Q396" s="91"/>
      <c r="R396" s="91"/>
      <c r="S396" s="41" t="str">
        <f t="shared" si="17"/>
        <v/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2.75" customHeight="1" x14ac:dyDescent="0.2">
      <c r="A397" s="9">
        <v>19095</v>
      </c>
      <c r="B397" s="9" t="s">
        <v>83</v>
      </c>
      <c r="C397" s="9" t="s">
        <v>347</v>
      </c>
      <c r="D397" s="23"/>
      <c r="E397" s="42"/>
      <c r="F397" s="43"/>
      <c r="G397" s="42"/>
      <c r="H397" s="43"/>
      <c r="I397" s="25" t="s">
        <v>15</v>
      </c>
      <c r="J397" s="34" t="str">
        <f>IF(E397="","",raw_data!C389)</f>
        <v/>
      </c>
      <c r="K397" s="46"/>
      <c r="L397" s="87"/>
      <c r="M397" s="19" t="str">
        <f>IF(E397="","",raw_data!F389)</f>
        <v/>
      </c>
      <c r="N397" s="20" t="str">
        <f t="shared" si="18"/>
        <v/>
      </c>
      <c r="O397" s="90"/>
      <c r="P397" s="91"/>
      <c r="Q397" s="91"/>
      <c r="R397" s="91"/>
      <c r="S397" s="41" t="str">
        <f t="shared" si="17"/>
        <v/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2.75" customHeight="1" x14ac:dyDescent="0.2">
      <c r="A398" s="9">
        <v>19096</v>
      </c>
      <c r="B398" s="9" t="s">
        <v>83</v>
      </c>
      <c r="C398" s="9" t="s">
        <v>348</v>
      </c>
      <c r="D398" s="23"/>
      <c r="E398" s="42"/>
      <c r="F398" s="43"/>
      <c r="G398" s="42"/>
      <c r="H398" s="43"/>
      <c r="I398" s="25" t="s">
        <v>15</v>
      </c>
      <c r="J398" s="34" t="str">
        <f>IF(E398="","",raw_data!C390)</f>
        <v/>
      </c>
      <c r="K398" s="46"/>
      <c r="L398" s="87"/>
      <c r="M398" s="19" t="str">
        <f>IF(E398="","",raw_data!F390)</f>
        <v/>
      </c>
      <c r="N398" s="20" t="str">
        <f t="shared" si="18"/>
        <v/>
      </c>
      <c r="O398" s="90"/>
      <c r="P398" s="91"/>
      <c r="Q398" s="91"/>
      <c r="R398" s="91"/>
      <c r="S398" s="41" t="str">
        <f t="shared" si="17"/>
        <v/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2.75" customHeight="1" x14ac:dyDescent="0.2">
      <c r="A399" s="9">
        <v>19097</v>
      </c>
      <c r="B399" s="9" t="s">
        <v>83</v>
      </c>
      <c r="C399" s="9" t="s">
        <v>349</v>
      </c>
      <c r="D399" s="23"/>
      <c r="E399" s="42"/>
      <c r="F399" s="43"/>
      <c r="G399" s="42"/>
      <c r="H399" s="43"/>
      <c r="I399" s="25" t="s">
        <v>15</v>
      </c>
      <c r="J399" s="34" t="str">
        <f>IF(E399="","",raw_data!C391)</f>
        <v/>
      </c>
      <c r="K399" s="46"/>
      <c r="L399" s="87"/>
      <c r="M399" s="19" t="str">
        <f>IF(E399="","",raw_data!F391)</f>
        <v/>
      </c>
      <c r="N399" s="20" t="str">
        <f t="shared" si="18"/>
        <v/>
      </c>
      <c r="O399" s="90"/>
      <c r="P399" s="91"/>
      <c r="Q399" s="91"/>
      <c r="R399" s="91"/>
      <c r="S399" s="41" t="str">
        <f t="shared" si="17"/>
        <v/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2.75" customHeight="1" x14ac:dyDescent="0.2">
      <c r="A400" s="9">
        <v>19098</v>
      </c>
      <c r="B400" s="9" t="s">
        <v>83</v>
      </c>
      <c r="C400" s="9" t="s">
        <v>350</v>
      </c>
      <c r="D400" s="23"/>
      <c r="E400" s="42"/>
      <c r="F400" s="43"/>
      <c r="G400" s="42"/>
      <c r="H400" s="43"/>
      <c r="I400" s="25" t="s">
        <v>15</v>
      </c>
      <c r="J400" s="34" t="str">
        <f>IF(E400="","",raw_data!C392)</f>
        <v/>
      </c>
      <c r="K400" s="46"/>
      <c r="L400" s="87"/>
      <c r="M400" s="19" t="str">
        <f>IF(E400="","",raw_data!F392)</f>
        <v/>
      </c>
      <c r="N400" s="20" t="str">
        <f t="shared" si="18"/>
        <v/>
      </c>
      <c r="O400" s="90"/>
      <c r="P400" s="91"/>
      <c r="Q400" s="91"/>
      <c r="R400" s="91"/>
      <c r="S400" s="41" t="str">
        <f t="shared" si="17"/>
        <v/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2.75" customHeight="1" x14ac:dyDescent="0.2">
      <c r="A401" s="9">
        <v>19099</v>
      </c>
      <c r="B401" s="9" t="s">
        <v>83</v>
      </c>
      <c r="C401" s="9" t="s">
        <v>351</v>
      </c>
      <c r="D401" s="23"/>
      <c r="E401" s="42"/>
      <c r="F401" s="43"/>
      <c r="G401" s="42"/>
      <c r="H401" s="43"/>
      <c r="I401" s="25" t="s">
        <v>15</v>
      </c>
      <c r="J401" s="34" t="str">
        <f>IF(E401="","",raw_data!C393)</f>
        <v/>
      </c>
      <c r="K401" s="46"/>
      <c r="L401" s="87"/>
      <c r="M401" s="19" t="str">
        <f>IF(E401="","",raw_data!F393)</f>
        <v/>
      </c>
      <c r="N401" s="20" t="str">
        <f t="shared" si="18"/>
        <v/>
      </c>
      <c r="O401" s="90"/>
      <c r="P401" s="91"/>
      <c r="Q401" s="91"/>
      <c r="R401" s="91"/>
      <c r="S401" s="41" t="str">
        <f t="shared" si="17"/>
        <v/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2.75" customHeight="1" x14ac:dyDescent="0.2">
      <c r="A402" s="9">
        <v>19100</v>
      </c>
      <c r="B402" s="9" t="s">
        <v>83</v>
      </c>
      <c r="C402" s="9" t="s">
        <v>352</v>
      </c>
      <c r="D402" s="23"/>
      <c r="E402" s="42"/>
      <c r="F402" s="43"/>
      <c r="G402" s="42"/>
      <c r="H402" s="43"/>
      <c r="I402" s="25" t="s">
        <v>15</v>
      </c>
      <c r="J402" s="34" t="str">
        <f>IF(E402="","",raw_data!C394)</f>
        <v/>
      </c>
      <c r="K402" s="46"/>
      <c r="L402" s="87"/>
      <c r="M402" s="19" t="str">
        <f>IF(E402="","",raw_data!F394)</f>
        <v/>
      </c>
      <c r="N402" s="20" t="str">
        <f t="shared" si="18"/>
        <v/>
      </c>
      <c r="O402" s="90"/>
      <c r="P402" s="91"/>
      <c r="Q402" s="91"/>
      <c r="R402" s="91"/>
      <c r="S402" s="41" t="str">
        <f t="shared" si="17"/>
        <v/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2.75" customHeight="1" x14ac:dyDescent="0.2">
      <c r="A403" s="9">
        <v>19101</v>
      </c>
      <c r="B403" s="9" t="s">
        <v>83</v>
      </c>
      <c r="C403" s="9" t="s">
        <v>353</v>
      </c>
      <c r="D403" s="23"/>
      <c r="E403" s="42"/>
      <c r="F403" s="43"/>
      <c r="G403" s="42"/>
      <c r="H403" s="43"/>
      <c r="I403" s="25" t="s">
        <v>15</v>
      </c>
      <c r="J403" s="34" t="str">
        <f>IF(E403="","",raw_data!C395)</f>
        <v/>
      </c>
      <c r="K403" s="46"/>
      <c r="L403" s="87"/>
      <c r="M403" s="19" t="str">
        <f>IF(E403="","",raw_data!F395)</f>
        <v/>
      </c>
      <c r="N403" s="20" t="str">
        <f t="shared" si="18"/>
        <v/>
      </c>
      <c r="O403" s="90"/>
      <c r="P403" s="91"/>
      <c r="Q403" s="91"/>
      <c r="R403" s="91"/>
      <c r="S403" s="41" t="str">
        <f t="shared" si="17"/>
        <v/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2.75" customHeight="1" x14ac:dyDescent="0.2">
      <c r="A404" s="9">
        <v>19102</v>
      </c>
      <c r="B404" s="9" t="s">
        <v>83</v>
      </c>
      <c r="C404" s="9" t="s">
        <v>354</v>
      </c>
      <c r="D404" s="23"/>
      <c r="E404" s="42"/>
      <c r="F404" s="43"/>
      <c r="G404" s="42"/>
      <c r="H404" s="43"/>
      <c r="I404" s="25" t="s">
        <v>15</v>
      </c>
      <c r="J404" s="34" t="str">
        <f>IF(E404="","",raw_data!C396)</f>
        <v/>
      </c>
      <c r="K404" s="46"/>
      <c r="L404" s="87"/>
      <c r="M404" s="19" t="str">
        <f>IF(E404="","",raw_data!F396)</f>
        <v/>
      </c>
      <c r="N404" s="20" t="str">
        <f t="shared" si="18"/>
        <v/>
      </c>
      <c r="O404" s="90"/>
      <c r="P404" s="91"/>
      <c r="Q404" s="91"/>
      <c r="R404" s="91"/>
      <c r="S404" s="41" t="str">
        <f t="shared" si="17"/>
        <v/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2.75" customHeight="1" x14ac:dyDescent="0.2">
      <c r="A405" s="9">
        <v>19103</v>
      </c>
      <c r="B405" s="9" t="s">
        <v>83</v>
      </c>
      <c r="C405" s="9" t="s">
        <v>256</v>
      </c>
      <c r="D405" s="23"/>
      <c r="E405" s="42"/>
      <c r="F405" s="43"/>
      <c r="G405" s="42"/>
      <c r="H405" s="43"/>
      <c r="I405" s="25" t="s">
        <v>15</v>
      </c>
      <c r="J405" s="34" t="str">
        <f>IF(E405="","",raw_data!C397)</f>
        <v/>
      </c>
      <c r="K405" s="46"/>
      <c r="L405" s="87"/>
      <c r="M405" s="19" t="str">
        <f>IF(E405="","",raw_data!F397)</f>
        <v/>
      </c>
      <c r="N405" s="20" t="str">
        <f t="shared" si="18"/>
        <v/>
      </c>
      <c r="O405" s="90"/>
      <c r="P405" s="91"/>
      <c r="Q405" s="91"/>
      <c r="R405" s="91"/>
      <c r="S405" s="41" t="str">
        <f t="shared" si="17"/>
        <v/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2.75" customHeight="1" x14ac:dyDescent="0.2">
      <c r="A406" s="9">
        <v>19104</v>
      </c>
      <c r="B406" s="9" t="s">
        <v>83</v>
      </c>
      <c r="C406" s="9" t="s">
        <v>78</v>
      </c>
      <c r="D406" s="23"/>
      <c r="E406" s="42"/>
      <c r="F406" s="43"/>
      <c r="G406" s="42"/>
      <c r="H406" s="43"/>
      <c r="I406" s="25" t="s">
        <v>15</v>
      </c>
      <c r="J406" s="34" t="str">
        <f>IF(E406="","",raw_data!C398)</f>
        <v/>
      </c>
      <c r="K406" s="46"/>
      <c r="L406" s="87"/>
      <c r="M406" s="19" t="str">
        <f>IF(E406="","",raw_data!F398)</f>
        <v/>
      </c>
      <c r="N406" s="20" t="str">
        <f t="shared" si="18"/>
        <v/>
      </c>
      <c r="O406" s="90"/>
      <c r="P406" s="91"/>
      <c r="Q406" s="91"/>
      <c r="R406" s="91"/>
      <c r="S406" s="41" t="str">
        <f t="shared" si="17"/>
        <v/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2.75" customHeight="1" x14ac:dyDescent="0.2">
      <c r="A407" s="9">
        <v>19105</v>
      </c>
      <c r="B407" s="9" t="s">
        <v>83</v>
      </c>
      <c r="C407" s="9" t="s">
        <v>162</v>
      </c>
      <c r="D407" s="23"/>
      <c r="E407" s="42"/>
      <c r="F407" s="43"/>
      <c r="G407" s="42"/>
      <c r="H407" s="43"/>
      <c r="I407" s="25" t="s">
        <v>15</v>
      </c>
      <c r="J407" s="34" t="str">
        <f>IF(E407="","",raw_data!C399)</f>
        <v/>
      </c>
      <c r="K407" s="46"/>
      <c r="L407" s="87"/>
      <c r="M407" s="19" t="str">
        <f>IF(E407="","",raw_data!F399)</f>
        <v/>
      </c>
      <c r="N407" s="20" t="str">
        <f t="shared" si="18"/>
        <v/>
      </c>
      <c r="O407" s="90"/>
      <c r="P407" s="91"/>
      <c r="Q407" s="91"/>
      <c r="R407" s="91"/>
      <c r="S407" s="41" t="str">
        <f t="shared" si="17"/>
        <v/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2.75" customHeight="1" x14ac:dyDescent="0.2">
      <c r="A408" s="9">
        <v>19106</v>
      </c>
      <c r="B408" s="9" t="s">
        <v>83</v>
      </c>
      <c r="C408" s="9" t="s">
        <v>355</v>
      </c>
      <c r="D408" s="23"/>
      <c r="E408" s="42"/>
      <c r="F408" s="43"/>
      <c r="G408" s="42"/>
      <c r="H408" s="43"/>
      <c r="I408" s="25" t="s">
        <v>15</v>
      </c>
      <c r="J408" s="34" t="str">
        <f>IF(E408="","",raw_data!C400)</f>
        <v/>
      </c>
      <c r="K408" s="46"/>
      <c r="L408" s="87"/>
      <c r="M408" s="19" t="str">
        <f>IF(E408="","",raw_data!F400)</f>
        <v/>
      </c>
      <c r="N408" s="20" t="str">
        <f t="shared" si="18"/>
        <v/>
      </c>
      <c r="O408" s="90"/>
      <c r="P408" s="91"/>
      <c r="Q408" s="91"/>
      <c r="R408" s="91"/>
      <c r="S408" s="41" t="str">
        <f t="shared" si="17"/>
        <v/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2.75" customHeight="1" x14ac:dyDescent="0.2">
      <c r="A409" s="9">
        <v>19107</v>
      </c>
      <c r="B409" s="9" t="s">
        <v>83</v>
      </c>
      <c r="C409" s="9" t="s">
        <v>356</v>
      </c>
      <c r="D409" s="23"/>
      <c r="E409" s="42"/>
      <c r="F409" s="43"/>
      <c r="G409" s="42"/>
      <c r="H409" s="43"/>
      <c r="I409" s="25" t="s">
        <v>15</v>
      </c>
      <c r="J409" s="34" t="str">
        <f>IF(E409="","",raw_data!C401)</f>
        <v/>
      </c>
      <c r="K409" s="46"/>
      <c r="L409" s="87"/>
      <c r="M409" s="19" t="str">
        <f>IF(E409="","",raw_data!F401)</f>
        <v/>
      </c>
      <c r="N409" s="20" t="str">
        <f t="shared" si="18"/>
        <v/>
      </c>
      <c r="O409" s="90"/>
      <c r="P409" s="91"/>
      <c r="Q409" s="91"/>
      <c r="R409" s="91"/>
      <c r="S409" s="41" t="str">
        <f t="shared" si="17"/>
        <v/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2.75" customHeight="1" x14ac:dyDescent="0.2">
      <c r="A410" s="9">
        <v>19108</v>
      </c>
      <c r="B410" s="9" t="s">
        <v>83</v>
      </c>
      <c r="C410" s="9" t="s">
        <v>357</v>
      </c>
      <c r="D410" s="23"/>
      <c r="E410" s="42"/>
      <c r="F410" s="43"/>
      <c r="G410" s="42"/>
      <c r="H410" s="43"/>
      <c r="I410" s="25" t="s">
        <v>15</v>
      </c>
      <c r="J410" s="34" t="str">
        <f>IF(E410="","",raw_data!C402)</f>
        <v/>
      </c>
      <c r="K410" s="46"/>
      <c r="L410" s="87"/>
      <c r="M410" s="19" t="str">
        <f>IF(E410="","",raw_data!F402)</f>
        <v/>
      </c>
      <c r="N410" s="20" t="str">
        <f t="shared" si="18"/>
        <v/>
      </c>
      <c r="O410" s="90"/>
      <c r="P410" s="91"/>
      <c r="Q410" s="91"/>
      <c r="R410" s="91"/>
      <c r="S410" s="41" t="str">
        <f t="shared" si="17"/>
        <v/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2.75" customHeight="1" x14ac:dyDescent="0.2">
      <c r="A411" s="9">
        <v>19109</v>
      </c>
      <c r="B411" s="9" t="s">
        <v>83</v>
      </c>
      <c r="C411" s="9" t="s">
        <v>358</v>
      </c>
      <c r="D411" s="23"/>
      <c r="E411" s="42"/>
      <c r="F411" s="43"/>
      <c r="G411" s="42"/>
      <c r="H411" s="43"/>
      <c r="I411" s="25" t="s">
        <v>15</v>
      </c>
      <c r="J411" s="34" t="str">
        <f>IF(E411="","",raw_data!C403)</f>
        <v/>
      </c>
      <c r="K411" s="46"/>
      <c r="L411" s="87"/>
      <c r="M411" s="19" t="str">
        <f>IF(E411="","",raw_data!F403)</f>
        <v/>
      </c>
      <c r="N411" s="20" t="str">
        <f t="shared" si="18"/>
        <v/>
      </c>
      <c r="O411" s="90"/>
      <c r="P411" s="91"/>
      <c r="Q411" s="91"/>
      <c r="R411" s="91"/>
      <c r="S411" s="41" t="str">
        <f t="shared" si="17"/>
        <v/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2.75" customHeight="1" x14ac:dyDescent="0.2">
      <c r="A412" s="9">
        <v>19110</v>
      </c>
      <c r="B412" s="9" t="s">
        <v>83</v>
      </c>
      <c r="C412" s="9" t="s">
        <v>359</v>
      </c>
      <c r="D412" s="23"/>
      <c r="E412" s="42"/>
      <c r="F412" s="43"/>
      <c r="G412" s="42"/>
      <c r="H412" s="43"/>
      <c r="I412" s="25" t="s">
        <v>15</v>
      </c>
      <c r="J412" s="34" t="str">
        <f>IF(E412="","",raw_data!C404)</f>
        <v/>
      </c>
      <c r="K412" s="46"/>
      <c r="L412" s="87"/>
      <c r="M412" s="19" t="str">
        <f>IF(E412="","",raw_data!F404)</f>
        <v/>
      </c>
      <c r="N412" s="20" t="str">
        <f t="shared" si="18"/>
        <v/>
      </c>
      <c r="O412" s="90"/>
      <c r="P412" s="91"/>
      <c r="Q412" s="91"/>
      <c r="R412" s="91"/>
      <c r="S412" s="41" t="str">
        <f t="shared" si="17"/>
        <v/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2.75" customHeight="1" x14ac:dyDescent="0.2">
      <c r="A413" s="9">
        <v>19111</v>
      </c>
      <c r="B413" s="9" t="s">
        <v>83</v>
      </c>
      <c r="C413" s="9" t="s">
        <v>360</v>
      </c>
      <c r="D413" s="23"/>
      <c r="E413" s="42"/>
      <c r="F413" s="43"/>
      <c r="G413" s="42"/>
      <c r="H413" s="43"/>
      <c r="I413" s="25" t="s">
        <v>15</v>
      </c>
      <c r="J413" s="34" t="str">
        <f>IF(E413="","",raw_data!C405)</f>
        <v/>
      </c>
      <c r="K413" s="46"/>
      <c r="L413" s="87"/>
      <c r="M413" s="19" t="str">
        <f>IF(E413="","",raw_data!F405)</f>
        <v/>
      </c>
      <c r="N413" s="20" t="str">
        <f t="shared" si="18"/>
        <v/>
      </c>
      <c r="O413" s="90"/>
      <c r="P413" s="91"/>
      <c r="Q413" s="91"/>
      <c r="R413" s="91"/>
      <c r="S413" s="41" t="str">
        <f t="shared" si="17"/>
        <v/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2.75" customHeight="1" x14ac:dyDescent="0.2">
      <c r="A414" s="9">
        <v>19112</v>
      </c>
      <c r="B414" s="9" t="s">
        <v>83</v>
      </c>
      <c r="C414" s="9" t="s">
        <v>361</v>
      </c>
      <c r="D414" s="23"/>
      <c r="E414" s="42"/>
      <c r="F414" s="43"/>
      <c r="G414" s="42"/>
      <c r="H414" s="43"/>
      <c r="I414" s="25" t="s">
        <v>15</v>
      </c>
      <c r="J414" s="34" t="str">
        <f>IF(E414="","",raw_data!C406)</f>
        <v/>
      </c>
      <c r="K414" s="46"/>
      <c r="L414" s="87"/>
      <c r="M414" s="19" t="str">
        <f>IF(E414="","",raw_data!F406)</f>
        <v/>
      </c>
      <c r="N414" s="20" t="str">
        <f t="shared" si="18"/>
        <v/>
      </c>
      <c r="O414" s="90"/>
      <c r="P414" s="91"/>
      <c r="Q414" s="91"/>
      <c r="R414" s="91"/>
      <c r="S414" s="41" t="str">
        <f t="shared" si="17"/>
        <v/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2.75" customHeight="1" x14ac:dyDescent="0.2">
      <c r="A415" s="9">
        <v>19113</v>
      </c>
      <c r="B415" s="9" t="s">
        <v>83</v>
      </c>
      <c r="C415" s="9" t="s">
        <v>362</v>
      </c>
      <c r="D415" s="23"/>
      <c r="E415" s="42"/>
      <c r="F415" s="43"/>
      <c r="G415" s="42"/>
      <c r="H415" s="43"/>
      <c r="I415" s="25" t="s">
        <v>15</v>
      </c>
      <c r="J415" s="34" t="str">
        <f>IF(E415="","",raw_data!C407)</f>
        <v/>
      </c>
      <c r="K415" s="46"/>
      <c r="L415" s="87"/>
      <c r="M415" s="19" t="str">
        <f>IF(E415="","",raw_data!F407)</f>
        <v/>
      </c>
      <c r="N415" s="20" t="str">
        <f t="shared" si="18"/>
        <v/>
      </c>
      <c r="O415" s="90"/>
      <c r="P415" s="91"/>
      <c r="Q415" s="91"/>
      <c r="R415" s="91"/>
      <c r="S415" s="41" t="str">
        <f t="shared" si="17"/>
        <v/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2.75" customHeight="1" x14ac:dyDescent="0.2">
      <c r="A416" s="9">
        <v>19114</v>
      </c>
      <c r="B416" s="9" t="s">
        <v>83</v>
      </c>
      <c r="C416" s="9" t="s">
        <v>363</v>
      </c>
      <c r="D416" s="23"/>
      <c r="E416" s="42"/>
      <c r="F416" s="43"/>
      <c r="G416" s="42"/>
      <c r="H416" s="43"/>
      <c r="I416" s="25" t="s">
        <v>15</v>
      </c>
      <c r="J416" s="34" t="str">
        <f>IF(E416="","",raw_data!C408)</f>
        <v/>
      </c>
      <c r="K416" s="46"/>
      <c r="L416" s="87"/>
      <c r="M416" s="19" t="str">
        <f>IF(E416="","",raw_data!F408)</f>
        <v/>
      </c>
      <c r="N416" s="20" t="str">
        <f t="shared" si="18"/>
        <v/>
      </c>
      <c r="O416" s="90"/>
      <c r="P416" s="91"/>
      <c r="Q416" s="91"/>
      <c r="R416" s="91"/>
      <c r="S416" s="41" t="str">
        <f t="shared" si="17"/>
        <v/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2.75" customHeight="1" x14ac:dyDescent="0.2">
      <c r="A417" s="9">
        <v>19115</v>
      </c>
      <c r="B417" s="9" t="s">
        <v>83</v>
      </c>
      <c r="C417" s="9" t="s">
        <v>92</v>
      </c>
      <c r="D417" s="23"/>
      <c r="E417" s="42">
        <v>1</v>
      </c>
      <c r="F417" s="43"/>
      <c r="G417" s="42" t="s">
        <v>155</v>
      </c>
      <c r="H417" s="43"/>
      <c r="I417" s="25" t="s">
        <v>15</v>
      </c>
      <c r="J417" s="34">
        <f>IF(E417="","",raw_data!C409)</f>
        <v>0</v>
      </c>
      <c r="K417" s="46"/>
      <c r="L417" s="87"/>
      <c r="M417" s="19">
        <f>IF(E417="","",raw_data!F409)</f>
        <v>0</v>
      </c>
      <c r="N417" s="20" t="str">
        <f t="shared" si="18"/>
        <v>-</v>
      </c>
      <c r="O417" s="90"/>
      <c r="P417" s="91"/>
      <c r="Q417" s="91"/>
      <c r="R417" s="91"/>
      <c r="S417" s="41" t="str">
        <f t="shared" si="17"/>
        <v>erfüllt</v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2.75" customHeight="1" x14ac:dyDescent="0.2">
      <c r="A418" s="9">
        <v>19116</v>
      </c>
      <c r="B418" s="9" t="s">
        <v>83</v>
      </c>
      <c r="C418" s="9" t="s">
        <v>257</v>
      </c>
      <c r="D418" s="23"/>
      <c r="E418" s="42"/>
      <c r="F418" s="43"/>
      <c r="G418" s="42"/>
      <c r="H418" s="43"/>
      <c r="I418" s="25" t="s">
        <v>15</v>
      </c>
      <c r="J418" s="34" t="str">
        <f>IF(E418="","",raw_data!C410)</f>
        <v/>
      </c>
      <c r="K418" s="46"/>
      <c r="L418" s="87"/>
      <c r="M418" s="19" t="str">
        <f>IF(E418="","",raw_data!F410)</f>
        <v/>
      </c>
      <c r="N418" s="20" t="str">
        <f t="shared" si="18"/>
        <v/>
      </c>
      <c r="O418" s="90"/>
      <c r="P418" s="91"/>
      <c r="Q418" s="91"/>
      <c r="R418" s="91"/>
      <c r="S418" s="41" t="str">
        <f t="shared" si="17"/>
        <v/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2.75" customHeight="1" x14ac:dyDescent="0.2">
      <c r="A419" s="9">
        <v>19117</v>
      </c>
      <c r="B419" s="9" t="s">
        <v>83</v>
      </c>
      <c r="C419" s="9" t="s">
        <v>197</v>
      </c>
      <c r="D419" s="23"/>
      <c r="E419" s="42"/>
      <c r="F419" s="43"/>
      <c r="G419" s="42"/>
      <c r="H419" s="43"/>
      <c r="I419" s="25" t="s">
        <v>15</v>
      </c>
      <c r="J419" s="34" t="str">
        <f>IF(E419="","",raw_data!C411)</f>
        <v/>
      </c>
      <c r="K419" s="46"/>
      <c r="L419" s="87"/>
      <c r="M419" s="19" t="str">
        <f>IF(E419="","",raw_data!F411)</f>
        <v/>
      </c>
      <c r="N419" s="20" t="str">
        <f t="shared" si="18"/>
        <v/>
      </c>
      <c r="O419" s="90"/>
      <c r="P419" s="91"/>
      <c r="Q419" s="91"/>
      <c r="R419" s="91"/>
      <c r="S419" s="41" t="str">
        <f t="shared" si="17"/>
        <v/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2.75" customHeight="1" x14ac:dyDescent="0.2">
      <c r="A420" s="9">
        <v>19118</v>
      </c>
      <c r="B420" s="9" t="s">
        <v>83</v>
      </c>
      <c r="C420" s="9" t="s">
        <v>9</v>
      </c>
      <c r="D420" s="23"/>
      <c r="E420" s="42">
        <v>1</v>
      </c>
      <c r="F420" s="43"/>
      <c r="G420" s="42" t="s">
        <v>155</v>
      </c>
      <c r="H420" s="43"/>
      <c r="I420" s="25" t="s">
        <v>15</v>
      </c>
      <c r="J420" s="34">
        <f>IF(E420="","",raw_data!C412)</f>
        <v>0</v>
      </c>
      <c r="K420" s="46"/>
      <c r="L420" s="87"/>
      <c r="M420" s="19">
        <f>IF(E420="","",raw_data!F412)</f>
        <v>0</v>
      </c>
      <c r="N420" s="20" t="str">
        <f t="shared" si="18"/>
        <v>-</v>
      </c>
      <c r="O420" s="90"/>
      <c r="P420" s="91"/>
      <c r="Q420" s="91"/>
      <c r="R420" s="91"/>
      <c r="S420" s="41" t="str">
        <f t="shared" si="17"/>
        <v>erfüllt</v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2.75" customHeight="1" x14ac:dyDescent="0.2">
      <c r="A421" s="9">
        <v>19119</v>
      </c>
      <c r="B421" s="9" t="s">
        <v>83</v>
      </c>
      <c r="C421" s="9" t="s">
        <v>241</v>
      </c>
      <c r="D421" s="23"/>
      <c r="E421" s="42">
        <v>1</v>
      </c>
      <c r="F421" s="43"/>
      <c r="G421" s="42" t="s">
        <v>155</v>
      </c>
      <c r="H421" s="43"/>
      <c r="I421" s="25" t="s">
        <v>15</v>
      </c>
      <c r="J421" s="34">
        <f>IF(E421="","",raw_data!C413)</f>
        <v>0</v>
      </c>
      <c r="K421" s="46"/>
      <c r="L421" s="87"/>
      <c r="M421" s="19">
        <f>IF(E421="","",raw_data!F413)</f>
        <v>0</v>
      </c>
      <c r="N421" s="20" t="str">
        <f t="shared" si="18"/>
        <v>-</v>
      </c>
      <c r="O421" s="90"/>
      <c r="P421" s="91"/>
      <c r="Q421" s="91"/>
      <c r="R421" s="91"/>
      <c r="S421" s="41" t="str">
        <f t="shared" si="17"/>
        <v>erfüllt</v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2.75" customHeight="1" x14ac:dyDescent="0.2">
      <c r="A422" s="9">
        <v>19120</v>
      </c>
      <c r="B422" s="9" t="s">
        <v>83</v>
      </c>
      <c r="C422" s="9" t="s">
        <v>93</v>
      </c>
      <c r="D422" s="23"/>
      <c r="E422" s="42"/>
      <c r="F422" s="43"/>
      <c r="G422" s="42"/>
      <c r="H422" s="43"/>
      <c r="I422" s="25" t="s">
        <v>15</v>
      </c>
      <c r="J422" s="34" t="str">
        <f>IF(E422="","",raw_data!C414)</f>
        <v/>
      </c>
      <c r="K422" s="46"/>
      <c r="L422" s="87"/>
      <c r="M422" s="19" t="str">
        <f>IF(E422="","",raw_data!F414)</f>
        <v/>
      </c>
      <c r="N422" s="20" t="str">
        <f t="shared" si="18"/>
        <v/>
      </c>
      <c r="O422" s="90"/>
      <c r="P422" s="91"/>
      <c r="Q422" s="91"/>
      <c r="R422" s="91"/>
      <c r="S422" s="41" t="str">
        <f t="shared" si="17"/>
        <v/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2.75" customHeight="1" x14ac:dyDescent="0.2">
      <c r="A423" s="9">
        <v>19121</v>
      </c>
      <c r="B423" s="9" t="s">
        <v>83</v>
      </c>
      <c r="C423" s="9" t="s">
        <v>258</v>
      </c>
      <c r="D423" s="23"/>
      <c r="E423" s="42"/>
      <c r="F423" s="43"/>
      <c r="G423" s="42"/>
      <c r="H423" s="43"/>
      <c r="I423" s="25" t="s">
        <v>15</v>
      </c>
      <c r="J423" s="34" t="str">
        <f>IF(E423="","",raw_data!C415)</f>
        <v/>
      </c>
      <c r="K423" s="46"/>
      <c r="L423" s="87"/>
      <c r="M423" s="19" t="str">
        <f>IF(E423="","",raw_data!F415)</f>
        <v/>
      </c>
      <c r="N423" s="20" t="str">
        <f t="shared" si="18"/>
        <v/>
      </c>
      <c r="O423" s="90"/>
      <c r="P423" s="91"/>
      <c r="Q423" s="91"/>
      <c r="R423" s="91"/>
      <c r="S423" s="41" t="str">
        <f t="shared" si="17"/>
        <v/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2.75" customHeight="1" x14ac:dyDescent="0.2">
      <c r="A424" s="9">
        <v>19122</v>
      </c>
      <c r="B424" s="9" t="s">
        <v>83</v>
      </c>
      <c r="C424" s="9" t="s">
        <v>94</v>
      </c>
      <c r="D424" s="23"/>
      <c r="E424" s="42"/>
      <c r="F424" s="43"/>
      <c r="G424" s="42"/>
      <c r="H424" s="43"/>
      <c r="I424" s="25" t="s">
        <v>15</v>
      </c>
      <c r="J424" s="34" t="str">
        <f>IF(E424="","",raw_data!C416)</f>
        <v/>
      </c>
      <c r="K424" s="46"/>
      <c r="L424" s="87"/>
      <c r="M424" s="19" t="str">
        <f>IF(E424="","",raw_data!F416)</f>
        <v/>
      </c>
      <c r="N424" s="20" t="str">
        <f t="shared" si="18"/>
        <v/>
      </c>
      <c r="O424" s="90"/>
      <c r="P424" s="91"/>
      <c r="Q424" s="91"/>
      <c r="R424" s="91"/>
      <c r="S424" s="41" t="str">
        <f t="shared" si="17"/>
        <v/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2.75" customHeight="1" x14ac:dyDescent="0.2">
      <c r="A425" s="9">
        <v>19123</v>
      </c>
      <c r="B425" s="9" t="s">
        <v>83</v>
      </c>
      <c r="C425" s="9" t="s">
        <v>79</v>
      </c>
      <c r="D425" s="23"/>
      <c r="E425" s="42"/>
      <c r="F425" s="43"/>
      <c r="G425" s="42"/>
      <c r="H425" s="43"/>
      <c r="I425" s="25" t="s">
        <v>15</v>
      </c>
      <c r="J425" s="34" t="str">
        <f>IF(E425="","",raw_data!C417)</f>
        <v/>
      </c>
      <c r="K425" s="46"/>
      <c r="L425" s="87"/>
      <c r="M425" s="19" t="str">
        <f>IF(E425="","",raw_data!F417)</f>
        <v/>
      </c>
      <c r="N425" s="20" t="str">
        <f t="shared" si="18"/>
        <v/>
      </c>
      <c r="O425" s="90"/>
      <c r="P425" s="91"/>
      <c r="Q425" s="91"/>
      <c r="R425" s="91"/>
      <c r="S425" s="41" t="str">
        <f t="shared" si="17"/>
        <v/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2.75" customHeight="1" x14ac:dyDescent="0.2">
      <c r="A426" s="9">
        <v>19124</v>
      </c>
      <c r="B426" s="9" t="s">
        <v>83</v>
      </c>
      <c r="C426" s="9" t="s">
        <v>242</v>
      </c>
      <c r="D426" s="23"/>
      <c r="E426" s="42">
        <v>1</v>
      </c>
      <c r="F426" s="43"/>
      <c r="G426" s="42" t="s">
        <v>155</v>
      </c>
      <c r="H426" s="43"/>
      <c r="I426" s="25" t="s">
        <v>15</v>
      </c>
      <c r="J426" s="34">
        <f>IF(E426="","",raw_data!C418)</f>
        <v>0</v>
      </c>
      <c r="K426" s="46"/>
      <c r="L426" s="87"/>
      <c r="M426" s="19">
        <f>IF(E426="","",raw_data!F418)</f>
        <v>0</v>
      </c>
      <c r="N426" s="20" t="str">
        <f t="shared" si="18"/>
        <v>-</v>
      </c>
      <c r="O426" s="90"/>
      <c r="P426" s="91"/>
      <c r="Q426" s="91"/>
      <c r="R426" s="91"/>
      <c r="S426" s="41" t="str">
        <f t="shared" si="17"/>
        <v>erfüllt</v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2.75" customHeight="1" x14ac:dyDescent="0.2">
      <c r="A427" s="9">
        <v>19125</v>
      </c>
      <c r="B427" s="9" t="s">
        <v>83</v>
      </c>
      <c r="C427" s="9" t="s">
        <v>80</v>
      </c>
      <c r="D427" s="23"/>
      <c r="E427" s="42">
        <v>1</v>
      </c>
      <c r="F427" s="43"/>
      <c r="G427" s="42" t="s">
        <v>155</v>
      </c>
      <c r="H427" s="43"/>
      <c r="I427" s="25" t="s">
        <v>15</v>
      </c>
      <c r="J427" s="34">
        <f>IF(E427="","",raw_data!C419)</f>
        <v>0</v>
      </c>
      <c r="K427" s="46"/>
      <c r="L427" s="87"/>
      <c r="M427" s="19">
        <f>IF(E427="","",raw_data!F419)</f>
        <v>0</v>
      </c>
      <c r="N427" s="20" t="str">
        <f t="shared" si="18"/>
        <v>-</v>
      </c>
      <c r="O427" s="90"/>
      <c r="P427" s="91"/>
      <c r="Q427" s="91"/>
      <c r="R427" s="91"/>
      <c r="S427" s="41" t="str">
        <f t="shared" si="17"/>
        <v>erfüllt</v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2.75" customHeight="1" x14ac:dyDescent="0.2">
      <c r="A428" s="9">
        <v>19126</v>
      </c>
      <c r="B428" s="9" t="s">
        <v>83</v>
      </c>
      <c r="C428" s="9" t="s">
        <v>81</v>
      </c>
      <c r="D428" s="23"/>
      <c r="E428" s="42">
        <v>1</v>
      </c>
      <c r="F428" s="43"/>
      <c r="G428" s="42" t="s">
        <v>155</v>
      </c>
      <c r="H428" s="43"/>
      <c r="I428" s="25" t="s">
        <v>15</v>
      </c>
      <c r="J428" s="34">
        <f>IF(E428="","",raw_data!C420)</f>
        <v>0</v>
      </c>
      <c r="K428" s="46"/>
      <c r="L428" s="87"/>
      <c r="M428" s="19">
        <f>IF(E428="","",raw_data!F420)</f>
        <v>0</v>
      </c>
      <c r="N428" s="20" t="str">
        <f t="shared" si="18"/>
        <v>-</v>
      </c>
      <c r="O428" s="90"/>
      <c r="P428" s="91"/>
      <c r="Q428" s="91"/>
      <c r="R428" s="91"/>
      <c r="S428" s="41" t="str">
        <f t="shared" si="17"/>
        <v>erfüllt</v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2.75" customHeight="1" x14ac:dyDescent="0.2">
      <c r="A429" s="9">
        <v>19127</v>
      </c>
      <c r="B429" s="9" t="s">
        <v>83</v>
      </c>
      <c r="C429" s="9" t="s">
        <v>259</v>
      </c>
      <c r="D429" s="23"/>
      <c r="E429" s="42">
        <v>1</v>
      </c>
      <c r="F429" s="43"/>
      <c r="G429" s="42" t="s">
        <v>155</v>
      </c>
      <c r="H429" s="43"/>
      <c r="I429" s="25" t="s">
        <v>15</v>
      </c>
      <c r="J429" s="34">
        <f>IF(E429="","",raw_data!C421)</f>
        <v>0</v>
      </c>
      <c r="K429" s="46"/>
      <c r="L429" s="87"/>
      <c r="M429" s="19">
        <f>IF(E429="","",raw_data!F421)</f>
        <v>0</v>
      </c>
      <c r="N429" s="20" t="str">
        <f t="shared" si="18"/>
        <v>-</v>
      </c>
      <c r="O429" s="90"/>
      <c r="P429" s="91"/>
      <c r="Q429" s="91"/>
      <c r="R429" s="91"/>
      <c r="S429" s="41" t="str">
        <f t="shared" si="17"/>
        <v>erfüllt</v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2.75" customHeight="1" x14ac:dyDescent="0.2">
      <c r="A430" s="9">
        <v>19128</v>
      </c>
      <c r="B430" s="9" t="s">
        <v>83</v>
      </c>
      <c r="C430" s="9" t="s">
        <v>95</v>
      </c>
      <c r="D430" s="23"/>
      <c r="E430" s="42"/>
      <c r="F430" s="43"/>
      <c r="G430" s="42"/>
      <c r="H430" s="43"/>
      <c r="I430" s="25" t="s">
        <v>15</v>
      </c>
      <c r="J430" s="34" t="str">
        <f>IF(E430="","",raw_data!C422)</f>
        <v/>
      </c>
      <c r="K430" s="46"/>
      <c r="L430" s="87"/>
      <c r="M430" s="19" t="str">
        <f>IF(E430="","",raw_data!F422)</f>
        <v/>
      </c>
      <c r="N430" s="20" t="str">
        <f t="shared" si="18"/>
        <v/>
      </c>
      <c r="O430" s="90"/>
      <c r="P430" s="91"/>
      <c r="Q430" s="91"/>
      <c r="R430" s="91"/>
      <c r="S430" s="41" t="str">
        <f t="shared" si="17"/>
        <v/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2.75" customHeight="1" x14ac:dyDescent="0.2">
      <c r="A431" s="9">
        <v>19129</v>
      </c>
      <c r="B431" s="9" t="s">
        <v>83</v>
      </c>
      <c r="C431" s="9" t="s">
        <v>193</v>
      </c>
      <c r="D431" s="23"/>
      <c r="E431" s="42">
        <v>1</v>
      </c>
      <c r="F431" s="43"/>
      <c r="G431" s="42" t="s">
        <v>155</v>
      </c>
      <c r="H431" s="43"/>
      <c r="I431" s="25" t="s">
        <v>15</v>
      </c>
      <c r="J431" s="34">
        <f>IF(E431="","",raw_data!C423)</f>
        <v>0</v>
      </c>
      <c r="K431" s="46"/>
      <c r="L431" s="87"/>
      <c r="M431" s="19">
        <f>IF(E431="","",raw_data!F423)</f>
        <v>0</v>
      </c>
      <c r="N431" s="20" t="str">
        <f t="shared" si="18"/>
        <v>-</v>
      </c>
      <c r="O431" s="90"/>
      <c r="P431" s="91"/>
      <c r="Q431" s="91"/>
      <c r="R431" s="91"/>
      <c r="S431" s="41" t="str">
        <f t="shared" si="17"/>
        <v>erfüllt</v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2.75" customHeight="1" x14ac:dyDescent="0.2">
      <c r="A432" s="9">
        <v>19130</v>
      </c>
      <c r="B432" s="9" t="s">
        <v>83</v>
      </c>
      <c r="C432" s="9" t="s">
        <v>56</v>
      </c>
      <c r="D432" s="23"/>
      <c r="E432" s="42">
        <v>1</v>
      </c>
      <c r="F432" s="43"/>
      <c r="G432" s="42" t="s">
        <v>155</v>
      </c>
      <c r="H432" s="43"/>
      <c r="I432" s="25" t="s">
        <v>15</v>
      </c>
      <c r="J432" s="34">
        <f>IF(E432="","",raw_data!C424)</f>
        <v>0</v>
      </c>
      <c r="K432" s="46"/>
      <c r="L432" s="87"/>
      <c r="M432" s="19">
        <f>IF(E432="","",raw_data!F424)</f>
        <v>0</v>
      </c>
      <c r="N432" s="20" t="str">
        <f t="shared" si="18"/>
        <v>-</v>
      </c>
      <c r="O432" s="90"/>
      <c r="P432" s="91"/>
      <c r="Q432" s="91"/>
      <c r="R432" s="91"/>
      <c r="S432" s="41" t="str">
        <f t="shared" si="17"/>
        <v>erfüllt</v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2.75" customHeight="1" x14ac:dyDescent="0.2">
      <c r="A433" s="9">
        <v>19131</v>
      </c>
      <c r="B433" s="9" t="s">
        <v>96</v>
      </c>
      <c r="C433" s="9" t="s">
        <v>97</v>
      </c>
      <c r="D433" s="23"/>
      <c r="E433" s="42">
        <v>1</v>
      </c>
      <c r="F433" s="43"/>
      <c r="G433" s="42" t="s">
        <v>155</v>
      </c>
      <c r="H433" s="43"/>
      <c r="I433" s="25" t="s">
        <v>15</v>
      </c>
      <c r="J433" s="34">
        <f>IF(E433="","",raw_data!C425)</f>
        <v>0</v>
      </c>
      <c r="K433" s="46"/>
      <c r="L433" s="87"/>
      <c r="M433" s="19">
        <f>IF(E433="","",raw_data!F425)</f>
        <v>0</v>
      </c>
      <c r="N433" s="20" t="str">
        <f t="shared" si="18"/>
        <v>-</v>
      </c>
      <c r="O433" s="90"/>
      <c r="P433" s="91"/>
      <c r="Q433" s="91"/>
      <c r="R433" s="91"/>
      <c r="S433" s="41" t="str">
        <f t="shared" si="17"/>
        <v>erfüllt</v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2.75" customHeight="1" x14ac:dyDescent="0.2">
      <c r="A434" s="9">
        <v>19132</v>
      </c>
      <c r="B434" s="9" t="s">
        <v>96</v>
      </c>
      <c r="C434" s="9" t="s">
        <v>77</v>
      </c>
      <c r="D434" s="23"/>
      <c r="E434" s="42"/>
      <c r="F434" s="43"/>
      <c r="G434" s="42"/>
      <c r="H434" s="43"/>
      <c r="I434" s="25" t="s">
        <v>15</v>
      </c>
      <c r="J434" s="34" t="str">
        <f>IF(E434="","",raw_data!C426)</f>
        <v/>
      </c>
      <c r="K434" s="46"/>
      <c r="L434" s="87"/>
      <c r="M434" s="19" t="str">
        <f>IF(E434="","",raw_data!F426)</f>
        <v/>
      </c>
      <c r="N434" s="20" t="str">
        <f t="shared" si="18"/>
        <v/>
      </c>
      <c r="O434" s="90"/>
      <c r="P434" s="91"/>
      <c r="Q434" s="91"/>
      <c r="R434" s="91"/>
      <c r="S434" s="41" t="str">
        <f t="shared" si="17"/>
        <v/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2.75" customHeight="1" x14ac:dyDescent="0.2">
      <c r="A435" s="9">
        <v>19133</v>
      </c>
      <c r="B435" s="9" t="s">
        <v>96</v>
      </c>
      <c r="C435" s="9" t="s">
        <v>19</v>
      </c>
      <c r="D435" s="23"/>
      <c r="E435" s="42"/>
      <c r="F435" s="43"/>
      <c r="G435" s="42"/>
      <c r="H435" s="43"/>
      <c r="I435" s="25" t="s">
        <v>15</v>
      </c>
      <c r="J435" s="34" t="str">
        <f>IF(E435="","",raw_data!C427)</f>
        <v/>
      </c>
      <c r="K435" s="46"/>
      <c r="L435" s="87"/>
      <c r="M435" s="19" t="str">
        <f>IF(E435="","",raw_data!F427)</f>
        <v/>
      </c>
      <c r="N435" s="20" t="str">
        <f t="shared" si="18"/>
        <v/>
      </c>
      <c r="O435" s="90"/>
      <c r="P435" s="91"/>
      <c r="Q435" s="91"/>
      <c r="R435" s="91"/>
      <c r="S435" s="41" t="str">
        <f t="shared" si="17"/>
        <v/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2.75" customHeight="1" x14ac:dyDescent="0.2">
      <c r="A436" s="9">
        <v>19134</v>
      </c>
      <c r="B436" s="9" t="s">
        <v>96</v>
      </c>
      <c r="C436" s="9" t="s">
        <v>240</v>
      </c>
      <c r="D436" s="23"/>
      <c r="E436" s="42">
        <v>1</v>
      </c>
      <c r="F436" s="43"/>
      <c r="G436" s="42" t="s">
        <v>155</v>
      </c>
      <c r="H436" s="43"/>
      <c r="I436" s="25" t="s">
        <v>15</v>
      </c>
      <c r="J436" s="34">
        <f>IF(E436="","",raw_data!C428)</f>
        <v>0</v>
      </c>
      <c r="K436" s="46"/>
      <c r="L436" s="87"/>
      <c r="M436" s="19">
        <f>IF(E436="","",raw_data!F428)</f>
        <v>0</v>
      </c>
      <c r="N436" s="20" t="str">
        <f t="shared" si="18"/>
        <v>-</v>
      </c>
      <c r="O436" s="90"/>
      <c r="P436" s="91"/>
      <c r="Q436" s="91"/>
      <c r="R436" s="91"/>
      <c r="S436" s="41" t="str">
        <f t="shared" si="17"/>
        <v>erfüllt</v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2.75" customHeight="1" x14ac:dyDescent="0.2">
      <c r="A437" s="9">
        <v>19135</v>
      </c>
      <c r="B437" s="9" t="s">
        <v>96</v>
      </c>
      <c r="C437" s="9" t="s">
        <v>160</v>
      </c>
      <c r="D437" s="23"/>
      <c r="E437" s="42"/>
      <c r="F437" s="43"/>
      <c r="G437" s="42"/>
      <c r="H437" s="43"/>
      <c r="I437" s="25" t="s">
        <v>15</v>
      </c>
      <c r="J437" s="34" t="str">
        <f>IF(E437="","",raw_data!C429)</f>
        <v/>
      </c>
      <c r="K437" s="46"/>
      <c r="L437" s="87"/>
      <c r="M437" s="19" t="str">
        <f>IF(E437="","",raw_data!F429)</f>
        <v/>
      </c>
      <c r="N437" s="20" t="str">
        <f t="shared" si="18"/>
        <v/>
      </c>
      <c r="O437" s="90"/>
      <c r="P437" s="91"/>
      <c r="Q437" s="91"/>
      <c r="R437" s="91"/>
      <c r="S437" s="41" t="str">
        <f t="shared" si="17"/>
        <v/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2.75" customHeight="1" x14ac:dyDescent="0.2">
      <c r="A438" s="9">
        <v>19136</v>
      </c>
      <c r="B438" s="9" t="s">
        <v>96</v>
      </c>
      <c r="C438" s="9" t="s">
        <v>161</v>
      </c>
      <c r="D438" s="23"/>
      <c r="E438" s="42"/>
      <c r="F438" s="43"/>
      <c r="G438" s="42"/>
      <c r="H438" s="43"/>
      <c r="I438" s="25" t="s">
        <v>15</v>
      </c>
      <c r="J438" s="34" t="str">
        <f>IF(E438="","",raw_data!C430)</f>
        <v/>
      </c>
      <c r="K438" s="46"/>
      <c r="L438" s="87"/>
      <c r="M438" s="19" t="str">
        <f>IF(E438="","",raw_data!F430)</f>
        <v/>
      </c>
      <c r="N438" s="20" t="str">
        <f t="shared" si="18"/>
        <v/>
      </c>
      <c r="O438" s="90"/>
      <c r="P438" s="91"/>
      <c r="Q438" s="91"/>
      <c r="R438" s="91"/>
      <c r="S438" s="41" t="str">
        <f t="shared" si="17"/>
        <v/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2.75" customHeight="1" x14ac:dyDescent="0.2">
      <c r="A439" s="9">
        <v>19137</v>
      </c>
      <c r="B439" s="9" t="s">
        <v>96</v>
      </c>
      <c r="C439" s="9" t="s">
        <v>260</v>
      </c>
      <c r="D439" s="23"/>
      <c r="E439" s="42"/>
      <c r="F439" s="43"/>
      <c r="G439" s="42"/>
      <c r="H439" s="43"/>
      <c r="I439" s="25" t="s">
        <v>15</v>
      </c>
      <c r="J439" s="34" t="str">
        <f>IF(E439="","",raw_data!C431)</f>
        <v/>
      </c>
      <c r="K439" s="46"/>
      <c r="L439" s="87"/>
      <c r="M439" s="19" t="str">
        <f>IF(E439="","",raw_data!F431)</f>
        <v/>
      </c>
      <c r="N439" s="20" t="str">
        <f t="shared" si="18"/>
        <v/>
      </c>
      <c r="O439" s="90"/>
      <c r="P439" s="91"/>
      <c r="Q439" s="91"/>
      <c r="R439" s="91"/>
      <c r="S439" s="41" t="str">
        <f t="shared" si="17"/>
        <v/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2.75" customHeight="1" x14ac:dyDescent="0.2">
      <c r="A440" s="9">
        <v>19138</v>
      </c>
      <c r="B440" s="9" t="s">
        <v>96</v>
      </c>
      <c r="C440" s="9" t="s">
        <v>98</v>
      </c>
      <c r="D440" s="23"/>
      <c r="E440" s="42"/>
      <c r="F440" s="43"/>
      <c r="G440" s="42"/>
      <c r="H440" s="43"/>
      <c r="I440" s="25" t="s">
        <v>15</v>
      </c>
      <c r="J440" s="34" t="str">
        <f>IF(E440="","",raw_data!C432)</f>
        <v/>
      </c>
      <c r="K440" s="46"/>
      <c r="L440" s="87"/>
      <c r="M440" s="19" t="str">
        <f>IF(E440="","",raw_data!F432)</f>
        <v/>
      </c>
      <c r="N440" s="20" t="str">
        <f t="shared" si="18"/>
        <v/>
      </c>
      <c r="O440" s="90"/>
      <c r="P440" s="91"/>
      <c r="Q440" s="91"/>
      <c r="R440" s="91"/>
      <c r="S440" s="41" t="str">
        <f t="shared" si="17"/>
        <v/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2.75" customHeight="1" x14ac:dyDescent="0.2">
      <c r="A441" s="9">
        <v>19139</v>
      </c>
      <c r="B441" s="9" t="s">
        <v>96</v>
      </c>
      <c r="C441" s="9" t="s">
        <v>261</v>
      </c>
      <c r="D441" s="23"/>
      <c r="E441" s="42"/>
      <c r="F441" s="43"/>
      <c r="G441" s="42"/>
      <c r="H441" s="43"/>
      <c r="I441" s="25" t="s">
        <v>15</v>
      </c>
      <c r="J441" s="34" t="str">
        <f>IF(E441="","",raw_data!C433)</f>
        <v/>
      </c>
      <c r="K441" s="46"/>
      <c r="L441" s="87"/>
      <c r="M441" s="19" t="str">
        <f>IF(E441="","",raw_data!F433)</f>
        <v/>
      </c>
      <c r="N441" s="20" t="str">
        <f t="shared" si="18"/>
        <v/>
      </c>
      <c r="O441" s="90"/>
      <c r="P441" s="91"/>
      <c r="Q441" s="91"/>
      <c r="R441" s="91"/>
      <c r="S441" s="41" t="str">
        <f t="shared" si="17"/>
        <v/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2.75" customHeight="1" x14ac:dyDescent="0.2">
      <c r="A442" s="9">
        <v>19140</v>
      </c>
      <c r="B442" s="9" t="s">
        <v>96</v>
      </c>
      <c r="C442" s="9" t="s">
        <v>262</v>
      </c>
      <c r="D442" s="23"/>
      <c r="E442" s="42"/>
      <c r="F442" s="43"/>
      <c r="G442" s="42"/>
      <c r="H442" s="43"/>
      <c r="I442" s="25" t="s">
        <v>15</v>
      </c>
      <c r="J442" s="34" t="str">
        <f>IF(E442="","",raw_data!C434)</f>
        <v/>
      </c>
      <c r="K442" s="46"/>
      <c r="L442" s="87"/>
      <c r="M442" s="19" t="str">
        <f>IF(E442="","",raw_data!F434)</f>
        <v/>
      </c>
      <c r="N442" s="20" t="str">
        <f t="shared" si="18"/>
        <v/>
      </c>
      <c r="O442" s="90"/>
      <c r="P442" s="91"/>
      <c r="Q442" s="91"/>
      <c r="R442" s="91"/>
      <c r="S442" s="41" t="str">
        <f t="shared" si="17"/>
        <v/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2.75" customHeight="1" x14ac:dyDescent="0.2">
      <c r="A443" s="9">
        <v>19141</v>
      </c>
      <c r="B443" s="9" t="s">
        <v>96</v>
      </c>
      <c r="C443" s="9" t="s">
        <v>263</v>
      </c>
      <c r="D443" s="23"/>
      <c r="E443" s="42"/>
      <c r="F443" s="43"/>
      <c r="G443" s="42"/>
      <c r="H443" s="43"/>
      <c r="I443" s="25" t="s">
        <v>15</v>
      </c>
      <c r="J443" s="34" t="str">
        <f>IF(E443="","",raw_data!C435)</f>
        <v/>
      </c>
      <c r="K443" s="46"/>
      <c r="L443" s="87"/>
      <c r="M443" s="19" t="str">
        <f>IF(E443="","",raw_data!F435)</f>
        <v/>
      </c>
      <c r="N443" s="20" t="str">
        <f t="shared" si="18"/>
        <v/>
      </c>
      <c r="O443" s="90"/>
      <c r="P443" s="91"/>
      <c r="Q443" s="91"/>
      <c r="R443" s="91"/>
      <c r="S443" s="41" t="str">
        <f t="shared" si="17"/>
        <v/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2.75" customHeight="1" x14ac:dyDescent="0.2">
      <c r="A444" s="9">
        <v>19142</v>
      </c>
      <c r="B444" s="9" t="s">
        <v>96</v>
      </c>
      <c r="C444" s="9" t="s">
        <v>99</v>
      </c>
      <c r="D444" s="23"/>
      <c r="E444" s="42"/>
      <c r="F444" s="43"/>
      <c r="G444" s="42"/>
      <c r="H444" s="43"/>
      <c r="I444" s="25" t="s">
        <v>15</v>
      </c>
      <c r="J444" s="34" t="str">
        <f>IF(E444="","",raw_data!C436)</f>
        <v/>
      </c>
      <c r="K444" s="46"/>
      <c r="L444" s="87"/>
      <c r="M444" s="19" t="str">
        <f>IF(E444="","",raw_data!F436)</f>
        <v/>
      </c>
      <c r="N444" s="20" t="str">
        <f t="shared" si="18"/>
        <v/>
      </c>
      <c r="O444" s="90"/>
      <c r="P444" s="91"/>
      <c r="Q444" s="91"/>
      <c r="R444" s="91"/>
      <c r="S444" s="41" t="str">
        <f t="shared" si="17"/>
        <v/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2.75" customHeight="1" x14ac:dyDescent="0.2">
      <c r="A445" s="9">
        <v>19143</v>
      </c>
      <c r="B445" s="9" t="s">
        <v>96</v>
      </c>
      <c r="C445" s="9" t="s">
        <v>264</v>
      </c>
      <c r="D445" s="23"/>
      <c r="E445" s="42"/>
      <c r="F445" s="43"/>
      <c r="G445" s="42"/>
      <c r="H445" s="43"/>
      <c r="I445" s="25" t="s">
        <v>15</v>
      </c>
      <c r="J445" s="34" t="str">
        <f>IF(E445="","",raw_data!C437)</f>
        <v/>
      </c>
      <c r="K445" s="46"/>
      <c r="L445" s="87"/>
      <c r="M445" s="19" t="str">
        <f>IF(E445="","",raw_data!F437)</f>
        <v/>
      </c>
      <c r="N445" s="20" t="str">
        <f t="shared" si="18"/>
        <v/>
      </c>
      <c r="O445" s="90"/>
      <c r="P445" s="91"/>
      <c r="Q445" s="91"/>
      <c r="R445" s="91"/>
      <c r="S445" s="41" t="str">
        <f t="shared" si="17"/>
        <v/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2.75" customHeight="1" x14ac:dyDescent="0.2">
      <c r="A446" s="9">
        <v>19144</v>
      </c>
      <c r="B446" s="9" t="s">
        <v>96</v>
      </c>
      <c r="C446" s="9" t="s">
        <v>265</v>
      </c>
      <c r="D446" s="23"/>
      <c r="E446" s="42"/>
      <c r="F446" s="43"/>
      <c r="G446" s="42"/>
      <c r="H446" s="43"/>
      <c r="I446" s="25" t="s">
        <v>15</v>
      </c>
      <c r="J446" s="34" t="str">
        <f>IF(E446="","",raw_data!C438)</f>
        <v/>
      </c>
      <c r="K446" s="46"/>
      <c r="L446" s="87"/>
      <c r="M446" s="19" t="str">
        <f>IF(E446="","",raw_data!F438)</f>
        <v/>
      </c>
      <c r="N446" s="20" t="str">
        <f t="shared" si="18"/>
        <v/>
      </c>
      <c r="O446" s="90"/>
      <c r="P446" s="91"/>
      <c r="Q446" s="91"/>
      <c r="R446" s="91"/>
      <c r="S446" s="41" t="str">
        <f t="shared" si="17"/>
        <v/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2.75" customHeight="1" x14ac:dyDescent="0.2">
      <c r="A447" s="9">
        <v>19145</v>
      </c>
      <c r="B447" s="9" t="s">
        <v>96</v>
      </c>
      <c r="C447" s="9" t="s">
        <v>266</v>
      </c>
      <c r="D447" s="23"/>
      <c r="E447" s="42">
        <v>1</v>
      </c>
      <c r="F447" s="43"/>
      <c r="G447" s="42" t="s">
        <v>155</v>
      </c>
      <c r="H447" s="43"/>
      <c r="I447" s="25" t="s">
        <v>15</v>
      </c>
      <c r="J447" s="34">
        <f>IF(E447="","",raw_data!C439)</f>
        <v>0</v>
      </c>
      <c r="K447" s="46"/>
      <c r="L447" s="87"/>
      <c r="M447" s="19">
        <f>IF(E447="","",raw_data!F439)</f>
        <v>0</v>
      </c>
      <c r="N447" s="20" t="str">
        <f t="shared" si="18"/>
        <v>-</v>
      </c>
      <c r="O447" s="90"/>
      <c r="P447" s="91"/>
      <c r="Q447" s="91"/>
      <c r="R447" s="91"/>
      <c r="S447" s="41" t="str">
        <f t="shared" si="17"/>
        <v>erfüllt</v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2.75" customHeight="1" x14ac:dyDescent="0.2">
      <c r="A448" s="9">
        <v>19146</v>
      </c>
      <c r="B448" s="9" t="s">
        <v>96</v>
      </c>
      <c r="C448" s="9" t="s">
        <v>267</v>
      </c>
      <c r="D448" s="23"/>
      <c r="E448" s="42"/>
      <c r="F448" s="43"/>
      <c r="G448" s="42"/>
      <c r="H448" s="43"/>
      <c r="I448" s="25" t="s">
        <v>15</v>
      </c>
      <c r="J448" s="34" t="str">
        <f>IF(E448="","",raw_data!C440)</f>
        <v/>
      </c>
      <c r="K448" s="46"/>
      <c r="L448" s="87"/>
      <c r="M448" s="19" t="str">
        <f>IF(E448="","",raw_data!F440)</f>
        <v/>
      </c>
      <c r="N448" s="20" t="str">
        <f t="shared" si="18"/>
        <v/>
      </c>
      <c r="O448" s="90"/>
      <c r="P448" s="91"/>
      <c r="Q448" s="91"/>
      <c r="R448" s="91"/>
      <c r="S448" s="41" t="str">
        <f t="shared" si="17"/>
        <v/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2.75" customHeight="1" x14ac:dyDescent="0.2">
      <c r="A449" s="9">
        <v>19147</v>
      </c>
      <c r="B449" s="9" t="s">
        <v>96</v>
      </c>
      <c r="C449" s="9" t="s">
        <v>268</v>
      </c>
      <c r="D449" s="23"/>
      <c r="E449" s="42"/>
      <c r="F449" s="43"/>
      <c r="G449" s="42"/>
      <c r="H449" s="43"/>
      <c r="I449" s="25" t="s">
        <v>15</v>
      </c>
      <c r="J449" s="34" t="str">
        <f>IF(E449="","",raw_data!C441)</f>
        <v/>
      </c>
      <c r="K449" s="46"/>
      <c r="L449" s="87"/>
      <c r="M449" s="19" t="str">
        <f>IF(E449="","",raw_data!F441)</f>
        <v/>
      </c>
      <c r="N449" s="20" t="str">
        <f t="shared" si="18"/>
        <v/>
      </c>
      <c r="O449" s="90"/>
      <c r="P449" s="91"/>
      <c r="Q449" s="91"/>
      <c r="R449" s="91"/>
      <c r="S449" s="41" t="str">
        <f t="shared" si="17"/>
        <v/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2.75" customHeight="1" x14ac:dyDescent="0.2">
      <c r="A450" s="9">
        <v>19148</v>
      </c>
      <c r="B450" s="9" t="s">
        <v>96</v>
      </c>
      <c r="C450" s="9" t="s">
        <v>269</v>
      </c>
      <c r="D450" s="23"/>
      <c r="E450" s="42"/>
      <c r="F450" s="43"/>
      <c r="G450" s="42"/>
      <c r="H450" s="43"/>
      <c r="I450" s="25" t="s">
        <v>15</v>
      </c>
      <c r="J450" s="34" t="str">
        <f>IF(E450="","",raw_data!C442)</f>
        <v/>
      </c>
      <c r="K450" s="46"/>
      <c r="L450" s="87"/>
      <c r="M450" s="19" t="str">
        <f>IF(E450="","",raw_data!F442)</f>
        <v/>
      </c>
      <c r="N450" s="20" t="str">
        <f t="shared" si="18"/>
        <v/>
      </c>
      <c r="O450" s="90"/>
      <c r="P450" s="91"/>
      <c r="Q450" s="91"/>
      <c r="R450" s="91"/>
      <c r="S450" s="41" t="str">
        <f t="shared" si="17"/>
        <v/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2.75" customHeight="1" x14ac:dyDescent="0.2">
      <c r="A451" s="9">
        <v>19149</v>
      </c>
      <c r="B451" s="9" t="s">
        <v>96</v>
      </c>
      <c r="C451" s="9" t="s">
        <v>214</v>
      </c>
      <c r="D451" s="23"/>
      <c r="E451" s="42"/>
      <c r="F451" s="43"/>
      <c r="G451" s="42"/>
      <c r="H451" s="43"/>
      <c r="I451" s="25" t="s">
        <v>15</v>
      </c>
      <c r="J451" s="34" t="str">
        <f>IF(E451="","",raw_data!C443)</f>
        <v/>
      </c>
      <c r="K451" s="46"/>
      <c r="L451" s="87"/>
      <c r="M451" s="19" t="str">
        <f>IF(E451="","",raw_data!F443)</f>
        <v/>
      </c>
      <c r="N451" s="20" t="str">
        <f t="shared" si="18"/>
        <v/>
      </c>
      <c r="O451" s="90"/>
      <c r="P451" s="91"/>
      <c r="Q451" s="91"/>
      <c r="R451" s="91"/>
      <c r="S451" s="41" t="str">
        <f t="shared" si="17"/>
        <v/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2.75" customHeight="1" x14ac:dyDescent="0.2">
      <c r="A452" s="9">
        <v>19150</v>
      </c>
      <c r="B452" s="9" t="s">
        <v>96</v>
      </c>
      <c r="C452" s="9" t="s">
        <v>101</v>
      </c>
      <c r="D452" s="23"/>
      <c r="E452" s="42"/>
      <c r="F452" s="43"/>
      <c r="G452" s="42"/>
      <c r="H452" s="43"/>
      <c r="I452" s="25" t="s">
        <v>15</v>
      </c>
      <c r="J452" s="34" t="str">
        <f>IF(E452="","",raw_data!C444)</f>
        <v/>
      </c>
      <c r="K452" s="46"/>
      <c r="L452" s="87"/>
      <c r="M452" s="19" t="str">
        <f>IF(E452="","",raw_data!F444)</f>
        <v/>
      </c>
      <c r="N452" s="20" t="str">
        <f t="shared" si="18"/>
        <v/>
      </c>
      <c r="O452" s="90"/>
      <c r="P452" s="91"/>
      <c r="Q452" s="91"/>
      <c r="R452" s="91"/>
      <c r="S452" s="41" t="str">
        <f t="shared" si="17"/>
        <v/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2.75" customHeight="1" x14ac:dyDescent="0.2">
      <c r="A453" s="9">
        <v>19151</v>
      </c>
      <c r="B453" s="9" t="s">
        <v>96</v>
      </c>
      <c r="C453" s="9" t="s">
        <v>346</v>
      </c>
      <c r="D453" s="23"/>
      <c r="E453" s="42"/>
      <c r="F453" s="43"/>
      <c r="G453" s="42"/>
      <c r="H453" s="43"/>
      <c r="I453" s="25" t="s">
        <v>15</v>
      </c>
      <c r="J453" s="34" t="str">
        <f>IF(E453="","",raw_data!C445)</f>
        <v/>
      </c>
      <c r="K453" s="46"/>
      <c r="L453" s="87"/>
      <c r="M453" s="19" t="str">
        <f>IF(E453="","",raw_data!F445)</f>
        <v/>
      </c>
      <c r="N453" s="20" t="str">
        <f t="shared" si="18"/>
        <v/>
      </c>
      <c r="O453" s="90"/>
      <c r="P453" s="91"/>
      <c r="Q453" s="91"/>
      <c r="R453" s="91"/>
      <c r="S453" s="41" t="str">
        <f t="shared" si="17"/>
        <v/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2.75" customHeight="1" x14ac:dyDescent="0.2">
      <c r="A454" s="9">
        <v>19152</v>
      </c>
      <c r="B454" s="9" t="s">
        <v>96</v>
      </c>
      <c r="C454" s="9" t="s">
        <v>347</v>
      </c>
      <c r="D454" s="23"/>
      <c r="E454" s="42"/>
      <c r="F454" s="43"/>
      <c r="G454" s="42"/>
      <c r="H454" s="43"/>
      <c r="I454" s="25" t="s">
        <v>15</v>
      </c>
      <c r="J454" s="34" t="str">
        <f>IF(E454="","",raw_data!C446)</f>
        <v/>
      </c>
      <c r="K454" s="46"/>
      <c r="L454" s="87"/>
      <c r="M454" s="19" t="str">
        <f>IF(E454="","",raw_data!F446)</f>
        <v/>
      </c>
      <c r="N454" s="20" t="str">
        <f t="shared" si="18"/>
        <v/>
      </c>
      <c r="O454" s="90"/>
      <c r="P454" s="91"/>
      <c r="Q454" s="91"/>
      <c r="R454" s="91"/>
      <c r="S454" s="41" t="str">
        <f t="shared" si="17"/>
        <v/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2.75" customHeight="1" x14ac:dyDescent="0.2">
      <c r="A455" s="9">
        <v>19153</v>
      </c>
      <c r="B455" s="9" t="s">
        <v>96</v>
      </c>
      <c r="C455" s="9" t="s">
        <v>348</v>
      </c>
      <c r="D455" s="23"/>
      <c r="E455" s="42"/>
      <c r="F455" s="43"/>
      <c r="G455" s="42"/>
      <c r="H455" s="43"/>
      <c r="I455" s="25" t="s">
        <v>15</v>
      </c>
      <c r="J455" s="34" t="str">
        <f>IF(E455="","",raw_data!C447)</f>
        <v/>
      </c>
      <c r="K455" s="46"/>
      <c r="L455" s="87"/>
      <c r="M455" s="19" t="str">
        <f>IF(E455="","",raw_data!F447)</f>
        <v/>
      </c>
      <c r="N455" s="20" t="str">
        <f t="shared" si="18"/>
        <v/>
      </c>
      <c r="O455" s="90"/>
      <c r="P455" s="91"/>
      <c r="Q455" s="91"/>
      <c r="R455" s="91"/>
      <c r="S455" s="41" t="str">
        <f t="shared" si="17"/>
        <v/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2.75" customHeight="1" x14ac:dyDescent="0.2">
      <c r="A456" s="9">
        <v>19154</v>
      </c>
      <c r="B456" s="9" t="s">
        <v>96</v>
      </c>
      <c r="C456" s="9" t="s">
        <v>349</v>
      </c>
      <c r="D456" s="23"/>
      <c r="E456" s="42"/>
      <c r="F456" s="43"/>
      <c r="G456" s="42"/>
      <c r="H456" s="43"/>
      <c r="I456" s="25" t="s">
        <v>15</v>
      </c>
      <c r="J456" s="34" t="str">
        <f>IF(E456="","",raw_data!C448)</f>
        <v/>
      </c>
      <c r="K456" s="46"/>
      <c r="L456" s="87"/>
      <c r="M456" s="19" t="str">
        <f>IF(E456="","",raw_data!F448)</f>
        <v/>
      </c>
      <c r="N456" s="20" t="str">
        <f t="shared" si="18"/>
        <v/>
      </c>
      <c r="O456" s="90"/>
      <c r="P456" s="91"/>
      <c r="Q456" s="91"/>
      <c r="R456" s="91"/>
      <c r="S456" s="41" t="str">
        <f t="shared" si="17"/>
        <v/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2.75" customHeight="1" x14ac:dyDescent="0.2">
      <c r="A457" s="9">
        <v>19155</v>
      </c>
      <c r="B457" s="9" t="s">
        <v>96</v>
      </c>
      <c r="C457" s="9" t="s">
        <v>350</v>
      </c>
      <c r="D457" s="23"/>
      <c r="E457" s="42"/>
      <c r="F457" s="43"/>
      <c r="G457" s="42"/>
      <c r="H457" s="43"/>
      <c r="I457" s="25" t="s">
        <v>15</v>
      </c>
      <c r="J457" s="34" t="str">
        <f>IF(E457="","",raw_data!C449)</f>
        <v/>
      </c>
      <c r="K457" s="46"/>
      <c r="L457" s="87"/>
      <c r="M457" s="19" t="str">
        <f>IF(E457="","",raw_data!F449)</f>
        <v/>
      </c>
      <c r="N457" s="20" t="str">
        <f t="shared" si="18"/>
        <v/>
      </c>
      <c r="O457" s="90"/>
      <c r="P457" s="91"/>
      <c r="Q457" s="91"/>
      <c r="R457" s="91"/>
      <c r="S457" s="41" t="str">
        <f t="shared" si="17"/>
        <v/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2.75" customHeight="1" x14ac:dyDescent="0.2">
      <c r="A458" s="9">
        <v>19156</v>
      </c>
      <c r="B458" s="9" t="s">
        <v>96</v>
      </c>
      <c r="C458" s="9" t="s">
        <v>351</v>
      </c>
      <c r="D458" s="23"/>
      <c r="E458" s="42"/>
      <c r="F458" s="43"/>
      <c r="G458" s="42"/>
      <c r="H458" s="43"/>
      <c r="I458" s="25" t="s">
        <v>15</v>
      </c>
      <c r="J458" s="34" t="str">
        <f>IF(E458="","",raw_data!C450)</f>
        <v/>
      </c>
      <c r="K458" s="46"/>
      <c r="L458" s="87"/>
      <c r="M458" s="19" t="str">
        <f>IF(E458="","",raw_data!F450)</f>
        <v/>
      </c>
      <c r="N458" s="20" t="str">
        <f t="shared" si="18"/>
        <v/>
      </c>
      <c r="O458" s="90"/>
      <c r="P458" s="91"/>
      <c r="Q458" s="91"/>
      <c r="R458" s="91"/>
      <c r="S458" s="41" t="str">
        <f t="shared" ref="S458:S521" si="19">IF(E458="","",IF(OR(NOT(ISNUMBER(N458)),N458&lt;=(1-E458)),"erfüllt",IF(G458="Fehler","mit Fehler",IF(G458="Warnung","mit Warnung",""))))</f>
        <v/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2.75" customHeight="1" x14ac:dyDescent="0.2">
      <c r="A459" s="9">
        <v>19157</v>
      </c>
      <c r="B459" s="9" t="s">
        <v>96</v>
      </c>
      <c r="C459" s="9" t="s">
        <v>352</v>
      </c>
      <c r="D459" s="23"/>
      <c r="E459" s="42"/>
      <c r="F459" s="43"/>
      <c r="G459" s="42"/>
      <c r="H459" s="43"/>
      <c r="I459" s="25" t="s">
        <v>15</v>
      </c>
      <c r="J459" s="34" t="str">
        <f>IF(E459="","",raw_data!C451)</f>
        <v/>
      </c>
      <c r="K459" s="46"/>
      <c r="L459" s="87"/>
      <c r="M459" s="19" t="str">
        <f>IF(E459="","",raw_data!F451)</f>
        <v/>
      </c>
      <c r="N459" s="20" t="str">
        <f t="shared" ref="N459:N522" si="20">IF(E459="","",IFERROR(M459/J459,"-"))</f>
        <v/>
      </c>
      <c r="O459" s="90"/>
      <c r="P459" s="91"/>
      <c r="Q459" s="91"/>
      <c r="R459" s="91"/>
      <c r="S459" s="41" t="str">
        <f t="shared" si="19"/>
        <v/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2.75" customHeight="1" x14ac:dyDescent="0.2">
      <c r="A460" s="9">
        <v>19158</v>
      </c>
      <c r="B460" s="9" t="s">
        <v>96</v>
      </c>
      <c r="C460" s="9" t="s">
        <v>353</v>
      </c>
      <c r="D460" s="23"/>
      <c r="E460" s="42"/>
      <c r="F460" s="43"/>
      <c r="G460" s="42"/>
      <c r="H460" s="43"/>
      <c r="I460" s="25" t="s">
        <v>15</v>
      </c>
      <c r="J460" s="34" t="str">
        <f>IF(E460="","",raw_data!C452)</f>
        <v/>
      </c>
      <c r="K460" s="46"/>
      <c r="L460" s="87"/>
      <c r="M460" s="19" t="str">
        <f>IF(E460="","",raw_data!F452)</f>
        <v/>
      </c>
      <c r="N460" s="20" t="str">
        <f t="shared" si="20"/>
        <v/>
      </c>
      <c r="O460" s="90"/>
      <c r="P460" s="91"/>
      <c r="Q460" s="91"/>
      <c r="R460" s="91"/>
      <c r="S460" s="41" t="str">
        <f t="shared" si="19"/>
        <v/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2.75" customHeight="1" x14ac:dyDescent="0.2">
      <c r="A461" s="9">
        <v>19159</v>
      </c>
      <c r="B461" s="9" t="s">
        <v>96</v>
      </c>
      <c r="C461" s="9" t="s">
        <v>354</v>
      </c>
      <c r="D461" s="23"/>
      <c r="E461" s="42"/>
      <c r="F461" s="43"/>
      <c r="G461" s="42"/>
      <c r="H461" s="43"/>
      <c r="I461" s="25" t="s">
        <v>15</v>
      </c>
      <c r="J461" s="34" t="str">
        <f>IF(E461="","",raw_data!C453)</f>
        <v/>
      </c>
      <c r="K461" s="46"/>
      <c r="L461" s="87"/>
      <c r="M461" s="19" t="str">
        <f>IF(E461="","",raw_data!F453)</f>
        <v/>
      </c>
      <c r="N461" s="20" t="str">
        <f t="shared" si="20"/>
        <v/>
      </c>
      <c r="O461" s="90"/>
      <c r="P461" s="91"/>
      <c r="Q461" s="91"/>
      <c r="R461" s="91"/>
      <c r="S461" s="41" t="str">
        <f t="shared" si="19"/>
        <v/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2.75" customHeight="1" x14ac:dyDescent="0.2">
      <c r="A462" s="9">
        <v>19160</v>
      </c>
      <c r="B462" s="9" t="s">
        <v>96</v>
      </c>
      <c r="C462" s="9" t="s">
        <v>243</v>
      </c>
      <c r="D462" s="23"/>
      <c r="E462" s="42"/>
      <c r="F462" s="43"/>
      <c r="G462" s="42"/>
      <c r="H462" s="43"/>
      <c r="I462" s="25" t="s">
        <v>15</v>
      </c>
      <c r="J462" s="34" t="str">
        <f>IF(E462="","",raw_data!C454)</f>
        <v/>
      </c>
      <c r="K462" s="46"/>
      <c r="L462" s="87"/>
      <c r="M462" s="19" t="str">
        <f>IF(E462="","",raw_data!F454)</f>
        <v/>
      </c>
      <c r="N462" s="20" t="str">
        <f t="shared" si="20"/>
        <v/>
      </c>
      <c r="O462" s="90"/>
      <c r="P462" s="91"/>
      <c r="Q462" s="91"/>
      <c r="R462" s="91"/>
      <c r="S462" s="41" t="str">
        <f t="shared" si="19"/>
        <v/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2.75" customHeight="1" x14ac:dyDescent="0.2">
      <c r="A463" s="9">
        <v>19161</v>
      </c>
      <c r="B463" s="9" t="s">
        <v>96</v>
      </c>
      <c r="C463" s="9" t="s">
        <v>244</v>
      </c>
      <c r="D463" s="23"/>
      <c r="E463" s="42"/>
      <c r="F463" s="43"/>
      <c r="G463" s="42"/>
      <c r="H463" s="43"/>
      <c r="I463" s="25" t="s">
        <v>15</v>
      </c>
      <c r="J463" s="34" t="str">
        <f>IF(E463="","",raw_data!C455)</f>
        <v/>
      </c>
      <c r="K463" s="46"/>
      <c r="L463" s="87"/>
      <c r="M463" s="19" t="str">
        <f>IF(E463="","",raw_data!F455)</f>
        <v/>
      </c>
      <c r="N463" s="20" t="str">
        <f t="shared" si="20"/>
        <v/>
      </c>
      <c r="O463" s="90"/>
      <c r="P463" s="91"/>
      <c r="Q463" s="91"/>
      <c r="R463" s="91"/>
      <c r="S463" s="41" t="str">
        <f t="shared" si="19"/>
        <v/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2.75" customHeight="1" x14ac:dyDescent="0.2">
      <c r="A464" s="9">
        <v>19162</v>
      </c>
      <c r="B464" s="9" t="s">
        <v>96</v>
      </c>
      <c r="C464" s="9" t="s">
        <v>245</v>
      </c>
      <c r="D464" s="23"/>
      <c r="E464" s="42"/>
      <c r="F464" s="43"/>
      <c r="G464" s="42"/>
      <c r="H464" s="43"/>
      <c r="I464" s="25" t="s">
        <v>15</v>
      </c>
      <c r="J464" s="34" t="str">
        <f>IF(E464="","",raw_data!C456)</f>
        <v/>
      </c>
      <c r="K464" s="46"/>
      <c r="L464" s="87"/>
      <c r="M464" s="19" t="str">
        <f>IF(E464="","",raw_data!F456)</f>
        <v/>
      </c>
      <c r="N464" s="20" t="str">
        <f t="shared" si="20"/>
        <v/>
      </c>
      <c r="O464" s="90"/>
      <c r="P464" s="91"/>
      <c r="Q464" s="91"/>
      <c r="R464" s="91"/>
      <c r="S464" s="41" t="str">
        <f t="shared" si="19"/>
        <v/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2.75" customHeight="1" x14ac:dyDescent="0.2">
      <c r="A465" s="9">
        <v>19163</v>
      </c>
      <c r="B465" s="9" t="s">
        <v>96</v>
      </c>
      <c r="C465" s="9" t="s">
        <v>78</v>
      </c>
      <c r="D465" s="23"/>
      <c r="E465" s="42"/>
      <c r="F465" s="43"/>
      <c r="G465" s="42"/>
      <c r="H465" s="43"/>
      <c r="I465" s="25" t="s">
        <v>15</v>
      </c>
      <c r="J465" s="34" t="str">
        <f>IF(E465="","",raw_data!C457)</f>
        <v/>
      </c>
      <c r="K465" s="46"/>
      <c r="L465" s="87"/>
      <c r="M465" s="19" t="str">
        <f>IF(E465="","",raw_data!F457)</f>
        <v/>
      </c>
      <c r="N465" s="20" t="str">
        <f t="shared" si="20"/>
        <v/>
      </c>
      <c r="O465" s="90"/>
      <c r="P465" s="91"/>
      <c r="Q465" s="91"/>
      <c r="R465" s="91"/>
      <c r="S465" s="41" t="str">
        <f t="shared" si="19"/>
        <v/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2.75" customHeight="1" x14ac:dyDescent="0.2">
      <c r="A466" s="9">
        <v>19164</v>
      </c>
      <c r="B466" s="9" t="s">
        <v>96</v>
      </c>
      <c r="C466" s="9" t="s">
        <v>162</v>
      </c>
      <c r="D466" s="23"/>
      <c r="E466" s="42"/>
      <c r="F466" s="43"/>
      <c r="G466" s="42"/>
      <c r="H466" s="43"/>
      <c r="I466" s="25" t="s">
        <v>15</v>
      </c>
      <c r="J466" s="34" t="str">
        <f>IF(E466="","",raw_data!C458)</f>
        <v/>
      </c>
      <c r="K466" s="46"/>
      <c r="L466" s="87"/>
      <c r="M466" s="19" t="str">
        <f>IF(E466="","",raw_data!F458)</f>
        <v/>
      </c>
      <c r="N466" s="20" t="str">
        <f t="shared" si="20"/>
        <v/>
      </c>
      <c r="O466" s="90"/>
      <c r="P466" s="91"/>
      <c r="Q466" s="91"/>
      <c r="R466" s="91"/>
      <c r="S466" s="41" t="str">
        <f t="shared" si="19"/>
        <v/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2.75" customHeight="1" x14ac:dyDescent="0.2">
      <c r="A467" s="9">
        <v>19165</v>
      </c>
      <c r="B467" s="9" t="s">
        <v>96</v>
      </c>
      <c r="C467" s="9" t="s">
        <v>355</v>
      </c>
      <c r="D467" s="23"/>
      <c r="E467" s="42"/>
      <c r="F467" s="43"/>
      <c r="G467" s="42"/>
      <c r="H467" s="43"/>
      <c r="I467" s="25" t="s">
        <v>15</v>
      </c>
      <c r="J467" s="34" t="str">
        <f>IF(E467="","",raw_data!C459)</f>
        <v/>
      </c>
      <c r="K467" s="46"/>
      <c r="L467" s="87"/>
      <c r="M467" s="19" t="str">
        <f>IF(E467="","",raw_data!F459)</f>
        <v/>
      </c>
      <c r="N467" s="20" t="str">
        <f t="shared" si="20"/>
        <v/>
      </c>
      <c r="O467" s="90"/>
      <c r="P467" s="91"/>
      <c r="Q467" s="91"/>
      <c r="R467" s="91"/>
      <c r="S467" s="41" t="str">
        <f t="shared" si="19"/>
        <v/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2.75" customHeight="1" x14ac:dyDescent="0.2">
      <c r="A468" s="9">
        <v>19166</v>
      </c>
      <c r="B468" s="9" t="s">
        <v>96</v>
      </c>
      <c r="C468" s="9" t="s">
        <v>356</v>
      </c>
      <c r="D468" s="23"/>
      <c r="E468" s="42"/>
      <c r="F468" s="43"/>
      <c r="G468" s="42"/>
      <c r="H468" s="43"/>
      <c r="I468" s="25" t="s">
        <v>15</v>
      </c>
      <c r="J468" s="34" t="str">
        <f>IF(E468="","",raw_data!C460)</f>
        <v/>
      </c>
      <c r="K468" s="46"/>
      <c r="L468" s="87"/>
      <c r="M468" s="19" t="str">
        <f>IF(E468="","",raw_data!F460)</f>
        <v/>
      </c>
      <c r="N468" s="20" t="str">
        <f t="shared" si="20"/>
        <v/>
      </c>
      <c r="O468" s="90"/>
      <c r="P468" s="91"/>
      <c r="Q468" s="91"/>
      <c r="R468" s="91"/>
      <c r="S468" s="41" t="str">
        <f t="shared" si="19"/>
        <v/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2.75" customHeight="1" x14ac:dyDescent="0.2">
      <c r="A469" s="9">
        <v>19167</v>
      </c>
      <c r="B469" s="9" t="s">
        <v>96</v>
      </c>
      <c r="C469" s="9" t="s">
        <v>357</v>
      </c>
      <c r="D469" s="23"/>
      <c r="E469" s="42"/>
      <c r="F469" s="43"/>
      <c r="G469" s="42"/>
      <c r="H469" s="43"/>
      <c r="I469" s="25" t="s">
        <v>15</v>
      </c>
      <c r="J469" s="34" t="str">
        <f>IF(E469="","",raw_data!C461)</f>
        <v/>
      </c>
      <c r="K469" s="46"/>
      <c r="L469" s="87"/>
      <c r="M469" s="19" t="str">
        <f>IF(E469="","",raw_data!F461)</f>
        <v/>
      </c>
      <c r="N469" s="20" t="str">
        <f t="shared" si="20"/>
        <v/>
      </c>
      <c r="O469" s="90"/>
      <c r="P469" s="91"/>
      <c r="Q469" s="91"/>
      <c r="R469" s="91"/>
      <c r="S469" s="41" t="str">
        <f t="shared" si="19"/>
        <v/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2.75" customHeight="1" x14ac:dyDescent="0.2">
      <c r="A470" s="9">
        <v>19168</v>
      </c>
      <c r="B470" s="9" t="s">
        <v>96</v>
      </c>
      <c r="C470" s="9" t="s">
        <v>358</v>
      </c>
      <c r="D470" s="23"/>
      <c r="E470" s="42"/>
      <c r="F470" s="43"/>
      <c r="G470" s="42"/>
      <c r="H470" s="43"/>
      <c r="I470" s="25" t="s">
        <v>15</v>
      </c>
      <c r="J470" s="34" t="str">
        <f>IF(E470="","",raw_data!C462)</f>
        <v/>
      </c>
      <c r="K470" s="46"/>
      <c r="L470" s="87"/>
      <c r="M470" s="19" t="str">
        <f>IF(E470="","",raw_data!F462)</f>
        <v/>
      </c>
      <c r="N470" s="20" t="str">
        <f t="shared" si="20"/>
        <v/>
      </c>
      <c r="O470" s="90"/>
      <c r="P470" s="91"/>
      <c r="Q470" s="91"/>
      <c r="R470" s="91"/>
      <c r="S470" s="41" t="str">
        <f t="shared" si="19"/>
        <v/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2.75" customHeight="1" x14ac:dyDescent="0.2">
      <c r="A471" s="9">
        <v>19169</v>
      </c>
      <c r="B471" s="9" t="s">
        <v>96</v>
      </c>
      <c r="C471" s="9" t="s">
        <v>359</v>
      </c>
      <c r="D471" s="23"/>
      <c r="E471" s="42"/>
      <c r="F471" s="43"/>
      <c r="G471" s="42"/>
      <c r="H471" s="43"/>
      <c r="I471" s="25" t="s">
        <v>15</v>
      </c>
      <c r="J471" s="34" t="str">
        <f>IF(E471="","",raw_data!C463)</f>
        <v/>
      </c>
      <c r="K471" s="46"/>
      <c r="L471" s="87"/>
      <c r="M471" s="19" t="str">
        <f>IF(E471="","",raw_data!F463)</f>
        <v/>
      </c>
      <c r="N471" s="20" t="str">
        <f t="shared" si="20"/>
        <v/>
      </c>
      <c r="O471" s="90"/>
      <c r="P471" s="91"/>
      <c r="Q471" s="91"/>
      <c r="R471" s="91"/>
      <c r="S471" s="41" t="str">
        <f t="shared" si="19"/>
        <v/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2.75" customHeight="1" x14ac:dyDescent="0.2">
      <c r="A472" s="9">
        <v>19170</v>
      </c>
      <c r="B472" s="9" t="s">
        <v>96</v>
      </c>
      <c r="C472" s="9" t="s">
        <v>360</v>
      </c>
      <c r="D472" s="23"/>
      <c r="E472" s="42"/>
      <c r="F472" s="43"/>
      <c r="G472" s="42"/>
      <c r="H472" s="43"/>
      <c r="I472" s="25" t="s">
        <v>15</v>
      </c>
      <c r="J472" s="34" t="str">
        <f>IF(E472="","",raw_data!C464)</f>
        <v/>
      </c>
      <c r="K472" s="46"/>
      <c r="L472" s="87"/>
      <c r="M472" s="19" t="str">
        <f>IF(E472="","",raw_data!F464)</f>
        <v/>
      </c>
      <c r="N472" s="20" t="str">
        <f t="shared" si="20"/>
        <v/>
      </c>
      <c r="O472" s="90"/>
      <c r="P472" s="91"/>
      <c r="Q472" s="91"/>
      <c r="R472" s="91"/>
      <c r="S472" s="41" t="str">
        <f t="shared" si="19"/>
        <v/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2.75" customHeight="1" x14ac:dyDescent="0.2">
      <c r="A473" s="9">
        <v>19171</v>
      </c>
      <c r="B473" s="9" t="s">
        <v>96</v>
      </c>
      <c r="C473" s="9" t="s">
        <v>361</v>
      </c>
      <c r="D473" s="23"/>
      <c r="E473" s="42"/>
      <c r="F473" s="43"/>
      <c r="G473" s="42"/>
      <c r="H473" s="43"/>
      <c r="I473" s="25" t="s">
        <v>15</v>
      </c>
      <c r="J473" s="34" t="str">
        <f>IF(E473="","",raw_data!C465)</f>
        <v/>
      </c>
      <c r="K473" s="46"/>
      <c r="L473" s="87"/>
      <c r="M473" s="19" t="str">
        <f>IF(E473="","",raw_data!F465)</f>
        <v/>
      </c>
      <c r="N473" s="20" t="str">
        <f t="shared" si="20"/>
        <v/>
      </c>
      <c r="O473" s="90"/>
      <c r="P473" s="91"/>
      <c r="Q473" s="91"/>
      <c r="R473" s="91"/>
      <c r="S473" s="41" t="str">
        <f t="shared" si="19"/>
        <v/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2.75" customHeight="1" x14ac:dyDescent="0.2">
      <c r="A474" s="9">
        <v>19172</v>
      </c>
      <c r="B474" s="9" t="s">
        <v>96</v>
      </c>
      <c r="C474" s="9" t="s">
        <v>362</v>
      </c>
      <c r="D474" s="23"/>
      <c r="E474" s="42"/>
      <c r="F474" s="43"/>
      <c r="G474" s="42"/>
      <c r="H474" s="43"/>
      <c r="I474" s="25" t="s">
        <v>15</v>
      </c>
      <c r="J474" s="34" t="str">
        <f>IF(E474="","",raw_data!C466)</f>
        <v/>
      </c>
      <c r="K474" s="46"/>
      <c r="L474" s="87"/>
      <c r="M474" s="19" t="str">
        <f>IF(E474="","",raw_data!F466)</f>
        <v/>
      </c>
      <c r="N474" s="20" t="str">
        <f t="shared" si="20"/>
        <v/>
      </c>
      <c r="O474" s="90"/>
      <c r="P474" s="91"/>
      <c r="Q474" s="91"/>
      <c r="R474" s="91"/>
      <c r="S474" s="41" t="str">
        <f t="shared" si="19"/>
        <v/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2.75" customHeight="1" x14ac:dyDescent="0.2">
      <c r="A475" s="9">
        <v>19173</v>
      </c>
      <c r="B475" s="9" t="s">
        <v>96</v>
      </c>
      <c r="C475" s="9" t="s">
        <v>363</v>
      </c>
      <c r="D475" s="23"/>
      <c r="E475" s="42"/>
      <c r="F475" s="43"/>
      <c r="G475" s="42"/>
      <c r="H475" s="43"/>
      <c r="I475" s="25" t="s">
        <v>15</v>
      </c>
      <c r="J475" s="34" t="str">
        <f>IF(E475="","",raw_data!C467)</f>
        <v/>
      </c>
      <c r="K475" s="46"/>
      <c r="L475" s="87"/>
      <c r="M475" s="19" t="str">
        <f>IF(E475="","",raw_data!F467)</f>
        <v/>
      </c>
      <c r="N475" s="20" t="str">
        <f t="shared" si="20"/>
        <v/>
      </c>
      <c r="O475" s="90"/>
      <c r="P475" s="91"/>
      <c r="Q475" s="91"/>
      <c r="R475" s="91"/>
      <c r="S475" s="41" t="str">
        <f t="shared" si="19"/>
        <v/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2.75" customHeight="1" x14ac:dyDescent="0.2">
      <c r="A476" s="9">
        <v>19174</v>
      </c>
      <c r="B476" s="9" t="s">
        <v>96</v>
      </c>
      <c r="C476" s="9" t="s">
        <v>270</v>
      </c>
      <c r="D476" s="23"/>
      <c r="E476" s="42"/>
      <c r="F476" s="43"/>
      <c r="G476" s="42"/>
      <c r="H476" s="43"/>
      <c r="I476" s="25" t="s">
        <v>15</v>
      </c>
      <c r="J476" s="34" t="str">
        <f>IF(E476="","",raw_data!C468)</f>
        <v/>
      </c>
      <c r="K476" s="46"/>
      <c r="L476" s="87"/>
      <c r="M476" s="19" t="str">
        <f>IF(E476="","",raw_data!F468)</f>
        <v/>
      </c>
      <c r="N476" s="20" t="str">
        <f t="shared" si="20"/>
        <v/>
      </c>
      <c r="O476" s="90"/>
      <c r="P476" s="91"/>
      <c r="Q476" s="91"/>
      <c r="R476" s="91"/>
      <c r="S476" s="41" t="str">
        <f t="shared" si="19"/>
        <v/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2.75" customHeight="1" x14ac:dyDescent="0.2">
      <c r="A477" s="9">
        <v>19175</v>
      </c>
      <c r="B477" s="9" t="s">
        <v>96</v>
      </c>
      <c r="C477" s="9" t="s">
        <v>271</v>
      </c>
      <c r="D477" s="23"/>
      <c r="E477" s="42"/>
      <c r="F477" s="43"/>
      <c r="G477" s="42"/>
      <c r="H477" s="43"/>
      <c r="I477" s="25" t="s">
        <v>15</v>
      </c>
      <c r="J477" s="34" t="str">
        <f>IF(E477="","",raw_data!C469)</f>
        <v/>
      </c>
      <c r="K477" s="46"/>
      <c r="L477" s="87"/>
      <c r="M477" s="19" t="str">
        <f>IF(E477="","",raw_data!F469)</f>
        <v/>
      </c>
      <c r="N477" s="20" t="str">
        <f t="shared" si="20"/>
        <v/>
      </c>
      <c r="O477" s="90"/>
      <c r="P477" s="91"/>
      <c r="Q477" s="91"/>
      <c r="R477" s="91"/>
      <c r="S477" s="41" t="str">
        <f t="shared" si="19"/>
        <v/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2.75" customHeight="1" x14ac:dyDescent="0.2">
      <c r="A478" s="9">
        <v>19176</v>
      </c>
      <c r="B478" s="9" t="s">
        <v>96</v>
      </c>
      <c r="C478" s="9" t="s">
        <v>246</v>
      </c>
      <c r="D478" s="23"/>
      <c r="E478" s="42"/>
      <c r="F478" s="43"/>
      <c r="G478" s="42"/>
      <c r="H478" s="43"/>
      <c r="I478" s="25" t="s">
        <v>15</v>
      </c>
      <c r="J478" s="34" t="str">
        <f>IF(E478="","",raw_data!C470)</f>
        <v/>
      </c>
      <c r="K478" s="46"/>
      <c r="L478" s="87"/>
      <c r="M478" s="19" t="str">
        <f>IF(E478="","",raw_data!F470)</f>
        <v/>
      </c>
      <c r="N478" s="20" t="str">
        <f t="shared" si="20"/>
        <v/>
      </c>
      <c r="O478" s="90"/>
      <c r="P478" s="91"/>
      <c r="Q478" s="91"/>
      <c r="R478" s="91"/>
      <c r="S478" s="41" t="str">
        <f t="shared" si="19"/>
        <v/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2.75" customHeight="1" x14ac:dyDescent="0.2">
      <c r="A479" s="9">
        <v>19177</v>
      </c>
      <c r="B479" s="9" t="s">
        <v>96</v>
      </c>
      <c r="C479" s="9" t="s">
        <v>247</v>
      </c>
      <c r="D479" s="23"/>
      <c r="E479" s="42"/>
      <c r="F479" s="43"/>
      <c r="G479" s="42"/>
      <c r="H479" s="43"/>
      <c r="I479" s="25" t="s">
        <v>15</v>
      </c>
      <c r="J479" s="34" t="str">
        <f>IF(E479="","",raw_data!C471)</f>
        <v/>
      </c>
      <c r="K479" s="46"/>
      <c r="L479" s="87"/>
      <c r="M479" s="19" t="str">
        <f>IF(E479="","",raw_data!F471)</f>
        <v/>
      </c>
      <c r="N479" s="20" t="str">
        <f t="shared" si="20"/>
        <v/>
      </c>
      <c r="O479" s="90"/>
      <c r="P479" s="91"/>
      <c r="Q479" s="91"/>
      <c r="R479" s="91"/>
      <c r="S479" s="41" t="str">
        <f t="shared" si="19"/>
        <v/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2.75" customHeight="1" x14ac:dyDescent="0.2">
      <c r="A480" s="9">
        <v>19178</v>
      </c>
      <c r="B480" s="9" t="s">
        <v>96</v>
      </c>
      <c r="C480" s="9" t="s">
        <v>248</v>
      </c>
      <c r="D480" s="23"/>
      <c r="E480" s="42"/>
      <c r="F480" s="43"/>
      <c r="G480" s="42"/>
      <c r="H480" s="43"/>
      <c r="I480" s="25" t="s">
        <v>15</v>
      </c>
      <c r="J480" s="34" t="str">
        <f>IF(E480="","",raw_data!C472)</f>
        <v/>
      </c>
      <c r="K480" s="46"/>
      <c r="L480" s="87"/>
      <c r="M480" s="19" t="str">
        <f>IF(E480="","",raw_data!F472)</f>
        <v/>
      </c>
      <c r="N480" s="20" t="str">
        <f t="shared" si="20"/>
        <v/>
      </c>
      <c r="O480" s="90"/>
      <c r="P480" s="91"/>
      <c r="Q480" s="91"/>
      <c r="R480" s="91"/>
      <c r="S480" s="41" t="str">
        <f t="shared" si="19"/>
        <v/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2.75" customHeight="1" x14ac:dyDescent="0.2">
      <c r="A481" s="9">
        <v>19179</v>
      </c>
      <c r="B481" s="9" t="s">
        <v>96</v>
      </c>
      <c r="C481" s="9" t="s">
        <v>9</v>
      </c>
      <c r="D481" s="23"/>
      <c r="E481" s="42">
        <v>1</v>
      </c>
      <c r="F481" s="43"/>
      <c r="G481" s="42" t="s">
        <v>155</v>
      </c>
      <c r="H481" s="43"/>
      <c r="I481" s="25" t="s">
        <v>15</v>
      </c>
      <c r="J481" s="34">
        <f>IF(E481="","",raw_data!C473)</f>
        <v>0</v>
      </c>
      <c r="K481" s="46"/>
      <c r="L481" s="87"/>
      <c r="M481" s="19">
        <f>IF(E481="","",raw_data!F473)</f>
        <v>0</v>
      </c>
      <c r="N481" s="20" t="str">
        <f t="shared" si="20"/>
        <v>-</v>
      </c>
      <c r="O481" s="90"/>
      <c r="P481" s="91"/>
      <c r="Q481" s="91"/>
      <c r="R481" s="91"/>
      <c r="S481" s="41" t="str">
        <f t="shared" si="19"/>
        <v>erfüllt</v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2.75" customHeight="1" x14ac:dyDescent="0.2">
      <c r="A482" s="9">
        <v>19180</v>
      </c>
      <c r="B482" s="9" t="s">
        <v>96</v>
      </c>
      <c r="C482" s="9" t="s">
        <v>241</v>
      </c>
      <c r="D482" s="23"/>
      <c r="E482" s="42">
        <v>1</v>
      </c>
      <c r="F482" s="43"/>
      <c r="G482" s="42" t="s">
        <v>155</v>
      </c>
      <c r="H482" s="43"/>
      <c r="I482" s="25" t="s">
        <v>15</v>
      </c>
      <c r="J482" s="34">
        <f>IF(E482="","",raw_data!C474)</f>
        <v>0</v>
      </c>
      <c r="K482" s="46"/>
      <c r="L482" s="87"/>
      <c r="M482" s="19">
        <f>IF(E482="","",raw_data!F474)</f>
        <v>0</v>
      </c>
      <c r="N482" s="20" t="str">
        <f t="shared" si="20"/>
        <v>-</v>
      </c>
      <c r="O482" s="90"/>
      <c r="P482" s="91"/>
      <c r="Q482" s="91"/>
      <c r="R482" s="91"/>
      <c r="S482" s="41" t="str">
        <f t="shared" si="19"/>
        <v>erfüllt</v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2.75" customHeight="1" x14ac:dyDescent="0.2">
      <c r="A483" s="9">
        <v>19181</v>
      </c>
      <c r="B483" s="9" t="s">
        <v>96</v>
      </c>
      <c r="C483" s="9" t="s">
        <v>102</v>
      </c>
      <c r="D483" s="23"/>
      <c r="E483" s="42"/>
      <c r="F483" s="43"/>
      <c r="G483" s="42"/>
      <c r="H483" s="43"/>
      <c r="I483" s="25" t="s">
        <v>15</v>
      </c>
      <c r="J483" s="34" t="str">
        <f>IF(E483="","",raw_data!C475)</f>
        <v/>
      </c>
      <c r="K483" s="46"/>
      <c r="L483" s="87"/>
      <c r="M483" s="19" t="str">
        <f>IF(E483="","",raw_data!F475)</f>
        <v/>
      </c>
      <c r="N483" s="20" t="str">
        <f t="shared" si="20"/>
        <v/>
      </c>
      <c r="O483" s="90"/>
      <c r="P483" s="91"/>
      <c r="Q483" s="91"/>
      <c r="R483" s="91"/>
      <c r="S483" s="41" t="str">
        <f t="shared" si="19"/>
        <v/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2.75" customHeight="1" x14ac:dyDescent="0.2">
      <c r="A484" s="9">
        <v>19182</v>
      </c>
      <c r="B484" s="9" t="s">
        <v>96</v>
      </c>
      <c r="C484" s="9" t="s">
        <v>79</v>
      </c>
      <c r="D484" s="23"/>
      <c r="E484" s="42"/>
      <c r="F484" s="43"/>
      <c r="G484" s="42"/>
      <c r="H484" s="43"/>
      <c r="I484" s="25" t="s">
        <v>15</v>
      </c>
      <c r="J484" s="34" t="str">
        <f>IF(E484="","",raw_data!C476)</f>
        <v/>
      </c>
      <c r="K484" s="46"/>
      <c r="L484" s="87"/>
      <c r="M484" s="19" t="str">
        <f>IF(E484="","",raw_data!F476)</f>
        <v/>
      </c>
      <c r="N484" s="20" t="str">
        <f t="shared" si="20"/>
        <v/>
      </c>
      <c r="O484" s="90"/>
      <c r="P484" s="91"/>
      <c r="Q484" s="91"/>
      <c r="R484" s="91"/>
      <c r="S484" s="41" t="str">
        <f t="shared" si="19"/>
        <v/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2.75" customHeight="1" x14ac:dyDescent="0.2">
      <c r="A485" s="9">
        <v>19183</v>
      </c>
      <c r="B485" s="9" t="s">
        <v>96</v>
      </c>
      <c r="C485" s="9" t="s">
        <v>220</v>
      </c>
      <c r="D485" s="23"/>
      <c r="E485" s="42"/>
      <c r="F485" s="43"/>
      <c r="G485" s="42"/>
      <c r="H485" s="43"/>
      <c r="I485" s="25" t="s">
        <v>15</v>
      </c>
      <c r="J485" s="34" t="str">
        <f>IF(E485="","",raw_data!C477)</f>
        <v/>
      </c>
      <c r="K485" s="46"/>
      <c r="L485" s="87"/>
      <c r="M485" s="19" t="str">
        <f>IF(E485="","",raw_data!F477)</f>
        <v/>
      </c>
      <c r="N485" s="20" t="str">
        <f t="shared" si="20"/>
        <v/>
      </c>
      <c r="O485" s="90"/>
      <c r="P485" s="91"/>
      <c r="Q485" s="91"/>
      <c r="R485" s="91"/>
      <c r="S485" s="41" t="str">
        <f t="shared" si="19"/>
        <v/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2.75" customHeight="1" x14ac:dyDescent="0.2">
      <c r="A486" s="9">
        <v>19184</v>
      </c>
      <c r="B486" s="9" t="s">
        <v>96</v>
      </c>
      <c r="C486" s="9" t="s">
        <v>103</v>
      </c>
      <c r="D486" s="23"/>
      <c r="E486" s="42"/>
      <c r="F486" s="43"/>
      <c r="G486" s="42"/>
      <c r="H486" s="43"/>
      <c r="I486" s="25" t="s">
        <v>15</v>
      </c>
      <c r="J486" s="34" t="str">
        <f>IF(E486="","",raw_data!C478)</f>
        <v/>
      </c>
      <c r="K486" s="46"/>
      <c r="L486" s="87"/>
      <c r="M486" s="19" t="str">
        <f>IF(E486="","",raw_data!F478)</f>
        <v/>
      </c>
      <c r="N486" s="20" t="str">
        <f t="shared" si="20"/>
        <v/>
      </c>
      <c r="O486" s="90"/>
      <c r="P486" s="91"/>
      <c r="Q486" s="91"/>
      <c r="R486" s="91"/>
      <c r="S486" s="41" t="str">
        <f t="shared" si="19"/>
        <v/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2.75" customHeight="1" x14ac:dyDescent="0.2">
      <c r="A487" s="9">
        <v>19185</v>
      </c>
      <c r="B487" s="9" t="s">
        <v>96</v>
      </c>
      <c r="C487" s="9" t="s">
        <v>242</v>
      </c>
      <c r="D487" s="23"/>
      <c r="E487" s="42">
        <v>1</v>
      </c>
      <c r="F487" s="43"/>
      <c r="G487" s="42" t="s">
        <v>155</v>
      </c>
      <c r="H487" s="43"/>
      <c r="I487" s="25" t="s">
        <v>15</v>
      </c>
      <c r="J487" s="34">
        <f>IF(E487="","",raw_data!C479)</f>
        <v>0</v>
      </c>
      <c r="K487" s="46"/>
      <c r="L487" s="87"/>
      <c r="M487" s="19">
        <f>IF(E487="","",raw_data!F479)</f>
        <v>0</v>
      </c>
      <c r="N487" s="20" t="str">
        <f t="shared" si="20"/>
        <v>-</v>
      </c>
      <c r="O487" s="90"/>
      <c r="P487" s="91"/>
      <c r="Q487" s="91"/>
      <c r="R487" s="91"/>
      <c r="S487" s="41" t="str">
        <f t="shared" si="19"/>
        <v>erfüllt</v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2.75" customHeight="1" x14ac:dyDescent="0.2">
      <c r="A488" s="9">
        <v>19186</v>
      </c>
      <c r="B488" s="9" t="s">
        <v>96</v>
      </c>
      <c r="C488" s="9" t="s">
        <v>80</v>
      </c>
      <c r="D488" s="23"/>
      <c r="E488" s="42">
        <v>1</v>
      </c>
      <c r="F488" s="43"/>
      <c r="G488" s="42" t="s">
        <v>155</v>
      </c>
      <c r="H488" s="43"/>
      <c r="I488" s="25" t="s">
        <v>15</v>
      </c>
      <c r="J488" s="34">
        <f>IF(E488="","",raw_data!C480)</f>
        <v>0</v>
      </c>
      <c r="K488" s="46"/>
      <c r="L488" s="87"/>
      <c r="M488" s="19">
        <f>IF(E488="","",raw_data!F480)</f>
        <v>0</v>
      </c>
      <c r="N488" s="20" t="str">
        <f t="shared" si="20"/>
        <v>-</v>
      </c>
      <c r="O488" s="90"/>
      <c r="P488" s="91"/>
      <c r="Q488" s="91"/>
      <c r="R488" s="91"/>
      <c r="S488" s="41" t="str">
        <f t="shared" si="19"/>
        <v>erfüllt</v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2.75" customHeight="1" x14ac:dyDescent="0.2">
      <c r="A489" s="9">
        <v>19187</v>
      </c>
      <c r="B489" s="9" t="s">
        <v>96</v>
      </c>
      <c r="C489" s="9" t="s">
        <v>104</v>
      </c>
      <c r="D489" s="23"/>
      <c r="E489" s="42">
        <v>1</v>
      </c>
      <c r="F489" s="43"/>
      <c r="G489" s="42" t="s">
        <v>155</v>
      </c>
      <c r="H489" s="43"/>
      <c r="I489" s="25" t="s">
        <v>15</v>
      </c>
      <c r="J489" s="34">
        <f>IF(E489="","",raw_data!C481)</f>
        <v>0</v>
      </c>
      <c r="K489" s="46"/>
      <c r="L489" s="87"/>
      <c r="M489" s="19">
        <f>IF(E489="","",raw_data!F481)</f>
        <v>0</v>
      </c>
      <c r="N489" s="20" t="str">
        <f t="shared" si="20"/>
        <v>-</v>
      </c>
      <c r="O489" s="90"/>
      <c r="P489" s="91"/>
      <c r="Q489" s="91"/>
      <c r="R489" s="91"/>
      <c r="S489" s="41" t="str">
        <f t="shared" si="19"/>
        <v>erfüllt</v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2.75" customHeight="1" x14ac:dyDescent="0.2">
      <c r="A490" s="9">
        <v>19188</v>
      </c>
      <c r="B490" s="9" t="s">
        <v>96</v>
      </c>
      <c r="C490" s="9" t="s">
        <v>81</v>
      </c>
      <c r="D490" s="23"/>
      <c r="E490" s="42">
        <v>1</v>
      </c>
      <c r="F490" s="43"/>
      <c r="G490" s="42" t="s">
        <v>155</v>
      </c>
      <c r="H490" s="43"/>
      <c r="I490" s="25" t="s">
        <v>15</v>
      </c>
      <c r="J490" s="34">
        <f>IF(E490="","",raw_data!C482)</f>
        <v>0</v>
      </c>
      <c r="K490" s="46"/>
      <c r="L490" s="87"/>
      <c r="M490" s="19">
        <f>IF(E490="","",raw_data!F482)</f>
        <v>0</v>
      </c>
      <c r="N490" s="20" t="str">
        <f t="shared" si="20"/>
        <v>-</v>
      </c>
      <c r="O490" s="90"/>
      <c r="P490" s="91"/>
      <c r="Q490" s="91"/>
      <c r="R490" s="91"/>
      <c r="S490" s="41" t="str">
        <f t="shared" si="19"/>
        <v>erfüllt</v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2.75" customHeight="1" x14ac:dyDescent="0.2">
      <c r="A491" s="9">
        <v>19189</v>
      </c>
      <c r="B491" s="9" t="s">
        <v>96</v>
      </c>
      <c r="C491" s="9" t="s">
        <v>105</v>
      </c>
      <c r="D491" s="23"/>
      <c r="E491" s="42">
        <v>1</v>
      </c>
      <c r="F491" s="43"/>
      <c r="G491" s="42" t="s">
        <v>155</v>
      </c>
      <c r="H491" s="43"/>
      <c r="I491" s="25" t="s">
        <v>15</v>
      </c>
      <c r="J491" s="34">
        <f>IF(E491="","",raw_data!C483)</f>
        <v>0</v>
      </c>
      <c r="K491" s="46"/>
      <c r="L491" s="87"/>
      <c r="M491" s="19">
        <f>IF(E491="","",raw_data!F483)</f>
        <v>0</v>
      </c>
      <c r="N491" s="20" t="str">
        <f t="shared" si="20"/>
        <v>-</v>
      </c>
      <c r="O491" s="90"/>
      <c r="P491" s="91"/>
      <c r="Q491" s="91"/>
      <c r="R491" s="91"/>
      <c r="S491" s="41" t="str">
        <f t="shared" si="19"/>
        <v>erfüllt</v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2.75" customHeight="1" x14ac:dyDescent="0.2">
      <c r="A492" s="9">
        <v>19190</v>
      </c>
      <c r="B492" s="9" t="s">
        <v>96</v>
      </c>
      <c r="C492" s="9" t="s">
        <v>193</v>
      </c>
      <c r="D492" s="23"/>
      <c r="E492" s="42">
        <v>1</v>
      </c>
      <c r="F492" s="43"/>
      <c r="G492" s="42" t="s">
        <v>155</v>
      </c>
      <c r="H492" s="43"/>
      <c r="I492" s="25" t="s">
        <v>15</v>
      </c>
      <c r="J492" s="34">
        <f>IF(E492="","",raw_data!C484)</f>
        <v>0</v>
      </c>
      <c r="K492" s="46"/>
      <c r="L492" s="87"/>
      <c r="M492" s="19">
        <f>IF(E492="","",raw_data!F484)</f>
        <v>0</v>
      </c>
      <c r="N492" s="20" t="str">
        <f t="shared" si="20"/>
        <v>-</v>
      </c>
      <c r="O492" s="90"/>
      <c r="P492" s="91"/>
      <c r="Q492" s="91"/>
      <c r="R492" s="91"/>
      <c r="S492" s="41" t="str">
        <f t="shared" si="19"/>
        <v>erfüllt</v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2.75" customHeight="1" x14ac:dyDescent="0.2">
      <c r="A493" s="9">
        <v>19191</v>
      </c>
      <c r="B493" s="9" t="s">
        <v>96</v>
      </c>
      <c r="C493" s="9" t="s">
        <v>56</v>
      </c>
      <c r="D493" s="23"/>
      <c r="E493" s="42">
        <v>1</v>
      </c>
      <c r="F493" s="43"/>
      <c r="G493" s="42" t="s">
        <v>155</v>
      </c>
      <c r="H493" s="43"/>
      <c r="I493" s="25" t="s">
        <v>15</v>
      </c>
      <c r="J493" s="34">
        <f>IF(E493="","",raw_data!C485)</f>
        <v>0</v>
      </c>
      <c r="K493" s="46"/>
      <c r="L493" s="87"/>
      <c r="M493" s="19">
        <f>IF(E493="","",raw_data!F485)</f>
        <v>0</v>
      </c>
      <c r="N493" s="20" t="str">
        <f t="shared" si="20"/>
        <v>-</v>
      </c>
      <c r="O493" s="90"/>
      <c r="P493" s="91"/>
      <c r="Q493" s="91"/>
      <c r="R493" s="91"/>
      <c r="S493" s="41" t="str">
        <f t="shared" si="19"/>
        <v>erfüllt</v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2.75" customHeight="1" x14ac:dyDescent="0.2">
      <c r="A494" s="9">
        <v>19192</v>
      </c>
      <c r="B494" s="9" t="s">
        <v>159</v>
      </c>
      <c r="C494" s="9" t="s">
        <v>77</v>
      </c>
      <c r="D494" s="23"/>
      <c r="E494" s="42"/>
      <c r="F494" s="43"/>
      <c r="G494" s="42"/>
      <c r="H494" s="43"/>
      <c r="I494" s="25" t="s">
        <v>15</v>
      </c>
      <c r="J494" s="34" t="str">
        <f>IF(E494="","",raw_data!C486)</f>
        <v/>
      </c>
      <c r="K494" s="46"/>
      <c r="L494" s="87"/>
      <c r="M494" s="19" t="str">
        <f>IF(E494="","",raw_data!F486)</f>
        <v/>
      </c>
      <c r="N494" s="20" t="str">
        <f t="shared" si="20"/>
        <v/>
      </c>
      <c r="O494" s="90"/>
      <c r="P494" s="91"/>
      <c r="Q494" s="91"/>
      <c r="R494" s="91"/>
      <c r="S494" s="41" t="str">
        <f t="shared" si="19"/>
        <v/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2.75" customHeight="1" x14ac:dyDescent="0.2">
      <c r="A495" s="9">
        <v>19193</v>
      </c>
      <c r="B495" s="9" t="s">
        <v>159</v>
      </c>
      <c r="C495" s="9" t="s">
        <v>19</v>
      </c>
      <c r="D495" s="23"/>
      <c r="E495" s="42"/>
      <c r="F495" s="43"/>
      <c r="G495" s="42"/>
      <c r="H495" s="43"/>
      <c r="I495" s="25" t="s">
        <v>15</v>
      </c>
      <c r="J495" s="34" t="str">
        <f>IF(E495="","",raw_data!C487)</f>
        <v/>
      </c>
      <c r="K495" s="46"/>
      <c r="L495" s="87"/>
      <c r="M495" s="19" t="str">
        <f>IF(E495="","",raw_data!F487)</f>
        <v/>
      </c>
      <c r="N495" s="20" t="str">
        <f t="shared" si="20"/>
        <v/>
      </c>
      <c r="O495" s="90"/>
      <c r="P495" s="91"/>
      <c r="Q495" s="91"/>
      <c r="R495" s="91"/>
      <c r="S495" s="41" t="str">
        <f t="shared" si="19"/>
        <v/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2.75" customHeight="1" x14ac:dyDescent="0.2">
      <c r="A496" s="9">
        <v>19194</v>
      </c>
      <c r="B496" s="9" t="s">
        <v>159</v>
      </c>
      <c r="C496" s="9" t="s">
        <v>240</v>
      </c>
      <c r="D496" s="23"/>
      <c r="E496" s="42">
        <v>1</v>
      </c>
      <c r="F496" s="43"/>
      <c r="G496" s="42" t="s">
        <v>155</v>
      </c>
      <c r="H496" s="43"/>
      <c r="I496" s="25" t="s">
        <v>15</v>
      </c>
      <c r="J496" s="34">
        <f>IF(E496="","",raw_data!C488)</f>
        <v>0</v>
      </c>
      <c r="K496" s="46"/>
      <c r="L496" s="87"/>
      <c r="M496" s="19">
        <f>IF(E496="","",raw_data!F488)</f>
        <v>0</v>
      </c>
      <c r="N496" s="20" t="str">
        <f t="shared" si="20"/>
        <v>-</v>
      </c>
      <c r="O496" s="90"/>
      <c r="P496" s="91"/>
      <c r="Q496" s="91"/>
      <c r="R496" s="91"/>
      <c r="S496" s="41" t="str">
        <f t="shared" si="19"/>
        <v>erfüllt</v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2.75" customHeight="1" x14ac:dyDescent="0.2">
      <c r="A497" s="9">
        <v>19195</v>
      </c>
      <c r="B497" s="9" t="s">
        <v>159</v>
      </c>
      <c r="C497" s="9" t="s">
        <v>160</v>
      </c>
      <c r="D497" s="23"/>
      <c r="E497" s="42"/>
      <c r="F497" s="43"/>
      <c r="G497" s="42"/>
      <c r="H497" s="43"/>
      <c r="I497" s="25" t="s">
        <v>15</v>
      </c>
      <c r="J497" s="34" t="str">
        <f>IF(E497="","",raw_data!C489)</f>
        <v/>
      </c>
      <c r="K497" s="46"/>
      <c r="L497" s="87"/>
      <c r="M497" s="19" t="str">
        <f>IF(E497="","",raw_data!F489)</f>
        <v/>
      </c>
      <c r="N497" s="20" t="str">
        <f t="shared" si="20"/>
        <v/>
      </c>
      <c r="O497" s="90"/>
      <c r="P497" s="91"/>
      <c r="Q497" s="91"/>
      <c r="R497" s="91"/>
      <c r="S497" s="41" t="str">
        <f t="shared" si="19"/>
        <v/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2.75" customHeight="1" x14ac:dyDescent="0.2">
      <c r="A498" s="9">
        <v>19196</v>
      </c>
      <c r="B498" s="9" t="s">
        <v>159</v>
      </c>
      <c r="C498" s="9" t="s">
        <v>161</v>
      </c>
      <c r="D498" s="23"/>
      <c r="E498" s="42"/>
      <c r="F498" s="43"/>
      <c r="G498" s="42"/>
      <c r="H498" s="43"/>
      <c r="I498" s="25" t="s">
        <v>15</v>
      </c>
      <c r="J498" s="34" t="str">
        <f>IF(E498="","",raw_data!C490)</f>
        <v/>
      </c>
      <c r="K498" s="46"/>
      <c r="L498" s="87"/>
      <c r="M498" s="19" t="str">
        <f>IF(E498="","",raw_data!F490)</f>
        <v/>
      </c>
      <c r="N498" s="20" t="str">
        <f t="shared" si="20"/>
        <v/>
      </c>
      <c r="O498" s="90"/>
      <c r="P498" s="91"/>
      <c r="Q498" s="91"/>
      <c r="R498" s="91"/>
      <c r="S498" s="41" t="str">
        <f t="shared" si="19"/>
        <v/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2.75" customHeight="1" x14ac:dyDescent="0.2">
      <c r="A499" s="9">
        <v>19197</v>
      </c>
      <c r="B499" s="9" t="s">
        <v>159</v>
      </c>
      <c r="C499" s="9" t="s">
        <v>260</v>
      </c>
      <c r="D499" s="23"/>
      <c r="E499" s="42"/>
      <c r="F499" s="43"/>
      <c r="G499" s="42"/>
      <c r="H499" s="43"/>
      <c r="I499" s="25" t="s">
        <v>15</v>
      </c>
      <c r="J499" s="34" t="str">
        <f>IF(E499="","",raw_data!C491)</f>
        <v/>
      </c>
      <c r="K499" s="46"/>
      <c r="L499" s="87"/>
      <c r="M499" s="19" t="str">
        <f>IF(E499="","",raw_data!F491)</f>
        <v/>
      </c>
      <c r="N499" s="20" t="str">
        <f t="shared" si="20"/>
        <v/>
      </c>
      <c r="O499" s="90"/>
      <c r="P499" s="91"/>
      <c r="Q499" s="91"/>
      <c r="R499" s="91"/>
      <c r="S499" s="41" t="str">
        <f t="shared" si="19"/>
        <v/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2.75" customHeight="1" x14ac:dyDescent="0.2">
      <c r="A500" s="9">
        <v>19198</v>
      </c>
      <c r="B500" s="9" t="s">
        <v>159</v>
      </c>
      <c r="C500" s="9" t="s">
        <v>98</v>
      </c>
      <c r="D500" s="23"/>
      <c r="E500" s="42"/>
      <c r="F500" s="43"/>
      <c r="G500" s="42"/>
      <c r="H500" s="43"/>
      <c r="I500" s="25" t="s">
        <v>15</v>
      </c>
      <c r="J500" s="34" t="str">
        <f>IF(E500="","",raw_data!C492)</f>
        <v/>
      </c>
      <c r="K500" s="46"/>
      <c r="L500" s="87"/>
      <c r="M500" s="19" t="str">
        <f>IF(E500="","",raw_data!F492)</f>
        <v/>
      </c>
      <c r="N500" s="20" t="str">
        <f t="shared" si="20"/>
        <v/>
      </c>
      <c r="O500" s="90"/>
      <c r="P500" s="91"/>
      <c r="Q500" s="91"/>
      <c r="R500" s="91"/>
      <c r="S500" s="41" t="str">
        <f t="shared" si="19"/>
        <v/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2.75" customHeight="1" x14ac:dyDescent="0.2">
      <c r="A501" s="9">
        <v>19199</v>
      </c>
      <c r="B501" s="9" t="s">
        <v>159</v>
      </c>
      <c r="C501" s="9" t="s">
        <v>261</v>
      </c>
      <c r="D501" s="23"/>
      <c r="E501" s="42"/>
      <c r="F501" s="43"/>
      <c r="G501" s="42"/>
      <c r="H501" s="43"/>
      <c r="I501" s="25" t="s">
        <v>15</v>
      </c>
      <c r="J501" s="34" t="str">
        <f>IF(E501="","",raw_data!C493)</f>
        <v/>
      </c>
      <c r="K501" s="46"/>
      <c r="L501" s="87"/>
      <c r="M501" s="19" t="str">
        <f>IF(E501="","",raw_data!F493)</f>
        <v/>
      </c>
      <c r="N501" s="20" t="str">
        <f t="shared" si="20"/>
        <v/>
      </c>
      <c r="O501" s="90"/>
      <c r="P501" s="91"/>
      <c r="Q501" s="91"/>
      <c r="R501" s="91"/>
      <c r="S501" s="41" t="str">
        <f t="shared" si="19"/>
        <v/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2.75" customHeight="1" x14ac:dyDescent="0.2">
      <c r="A502" s="9">
        <v>19200</v>
      </c>
      <c r="B502" s="9" t="s">
        <v>159</v>
      </c>
      <c r="C502" s="9" t="s">
        <v>262</v>
      </c>
      <c r="D502" s="23"/>
      <c r="E502" s="42"/>
      <c r="F502" s="43"/>
      <c r="G502" s="42"/>
      <c r="H502" s="43"/>
      <c r="I502" s="25" t="s">
        <v>15</v>
      </c>
      <c r="J502" s="34" t="str">
        <f>IF(E502="","",raw_data!C494)</f>
        <v/>
      </c>
      <c r="K502" s="46"/>
      <c r="L502" s="87"/>
      <c r="M502" s="19" t="str">
        <f>IF(E502="","",raw_data!F494)</f>
        <v/>
      </c>
      <c r="N502" s="20" t="str">
        <f t="shared" si="20"/>
        <v/>
      </c>
      <c r="O502" s="90"/>
      <c r="P502" s="91"/>
      <c r="Q502" s="91"/>
      <c r="R502" s="91"/>
      <c r="S502" s="41" t="str">
        <f t="shared" si="19"/>
        <v/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2.75" customHeight="1" x14ac:dyDescent="0.2">
      <c r="A503" s="9">
        <v>19201</v>
      </c>
      <c r="B503" s="9" t="s">
        <v>159</v>
      </c>
      <c r="C503" s="9" t="s">
        <v>263</v>
      </c>
      <c r="D503" s="23"/>
      <c r="E503" s="42"/>
      <c r="F503" s="43"/>
      <c r="G503" s="42"/>
      <c r="H503" s="43"/>
      <c r="I503" s="25" t="s">
        <v>15</v>
      </c>
      <c r="J503" s="34" t="str">
        <f>IF(E503="","",raw_data!C495)</f>
        <v/>
      </c>
      <c r="K503" s="46"/>
      <c r="L503" s="87"/>
      <c r="M503" s="19" t="str">
        <f>IF(E503="","",raw_data!F495)</f>
        <v/>
      </c>
      <c r="N503" s="20" t="str">
        <f t="shared" si="20"/>
        <v/>
      </c>
      <c r="O503" s="90"/>
      <c r="P503" s="91"/>
      <c r="Q503" s="91"/>
      <c r="R503" s="91"/>
      <c r="S503" s="41" t="str">
        <f t="shared" si="19"/>
        <v/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2.75" customHeight="1" x14ac:dyDescent="0.2">
      <c r="A504" s="9">
        <v>19202</v>
      </c>
      <c r="B504" s="9" t="s">
        <v>159</v>
      </c>
      <c r="C504" s="9" t="s">
        <v>99</v>
      </c>
      <c r="D504" s="23"/>
      <c r="E504" s="42"/>
      <c r="F504" s="43"/>
      <c r="G504" s="42"/>
      <c r="H504" s="43"/>
      <c r="I504" s="25" t="s">
        <v>15</v>
      </c>
      <c r="J504" s="34" t="str">
        <f>IF(E504="","",raw_data!C496)</f>
        <v/>
      </c>
      <c r="K504" s="46"/>
      <c r="L504" s="87"/>
      <c r="M504" s="19" t="str">
        <f>IF(E504="","",raw_data!F496)</f>
        <v/>
      </c>
      <c r="N504" s="20" t="str">
        <f t="shared" si="20"/>
        <v/>
      </c>
      <c r="O504" s="90"/>
      <c r="P504" s="91"/>
      <c r="Q504" s="91"/>
      <c r="R504" s="91"/>
      <c r="S504" s="41" t="str">
        <f t="shared" si="19"/>
        <v/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2.75" customHeight="1" x14ac:dyDescent="0.2">
      <c r="A505" s="9">
        <v>19203</v>
      </c>
      <c r="B505" s="9" t="s">
        <v>159</v>
      </c>
      <c r="C505" s="9" t="s">
        <v>264</v>
      </c>
      <c r="D505" s="23"/>
      <c r="E505" s="42"/>
      <c r="F505" s="43"/>
      <c r="G505" s="42"/>
      <c r="H505" s="43"/>
      <c r="I505" s="25" t="s">
        <v>15</v>
      </c>
      <c r="J505" s="34" t="str">
        <f>IF(E505="","",raw_data!C497)</f>
        <v/>
      </c>
      <c r="K505" s="46"/>
      <c r="L505" s="87"/>
      <c r="M505" s="19" t="str">
        <f>IF(E505="","",raw_data!F497)</f>
        <v/>
      </c>
      <c r="N505" s="20" t="str">
        <f t="shared" si="20"/>
        <v/>
      </c>
      <c r="O505" s="90"/>
      <c r="P505" s="91"/>
      <c r="Q505" s="91"/>
      <c r="R505" s="91"/>
      <c r="S505" s="41" t="str">
        <f t="shared" si="19"/>
        <v/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2.75" customHeight="1" x14ac:dyDescent="0.2">
      <c r="A506" s="9">
        <v>19204</v>
      </c>
      <c r="B506" s="9" t="s">
        <v>159</v>
      </c>
      <c r="C506" s="9" t="s">
        <v>265</v>
      </c>
      <c r="D506" s="23"/>
      <c r="E506" s="42"/>
      <c r="F506" s="43"/>
      <c r="G506" s="42"/>
      <c r="H506" s="43"/>
      <c r="I506" s="25" t="s">
        <v>15</v>
      </c>
      <c r="J506" s="34" t="str">
        <f>IF(E506="","",raw_data!C498)</f>
        <v/>
      </c>
      <c r="K506" s="46"/>
      <c r="L506" s="87"/>
      <c r="M506" s="19" t="str">
        <f>IF(E506="","",raw_data!F498)</f>
        <v/>
      </c>
      <c r="N506" s="20" t="str">
        <f t="shared" si="20"/>
        <v/>
      </c>
      <c r="O506" s="90"/>
      <c r="P506" s="91"/>
      <c r="Q506" s="91"/>
      <c r="R506" s="91"/>
      <c r="S506" s="41" t="str">
        <f t="shared" si="19"/>
        <v/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2.75" customHeight="1" x14ac:dyDescent="0.2">
      <c r="A507" s="9">
        <v>19205</v>
      </c>
      <c r="B507" s="9" t="s">
        <v>159</v>
      </c>
      <c r="C507" s="9" t="s">
        <v>214</v>
      </c>
      <c r="D507" s="23"/>
      <c r="E507" s="42"/>
      <c r="F507" s="43"/>
      <c r="G507" s="42"/>
      <c r="H507" s="43"/>
      <c r="I507" s="25" t="s">
        <v>15</v>
      </c>
      <c r="J507" s="34" t="str">
        <f>IF(E507="","",raw_data!C499)</f>
        <v/>
      </c>
      <c r="K507" s="46"/>
      <c r="L507" s="87"/>
      <c r="M507" s="19" t="str">
        <f>IF(E507="","",raw_data!F499)</f>
        <v/>
      </c>
      <c r="N507" s="20" t="str">
        <f t="shared" si="20"/>
        <v/>
      </c>
      <c r="O507" s="90"/>
      <c r="P507" s="91"/>
      <c r="Q507" s="91"/>
      <c r="R507" s="91"/>
      <c r="S507" s="41" t="str">
        <f t="shared" si="19"/>
        <v/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2.75" customHeight="1" x14ac:dyDescent="0.2">
      <c r="A508" s="9">
        <v>19206</v>
      </c>
      <c r="B508" s="9" t="s">
        <v>159</v>
      </c>
      <c r="C508" s="9" t="s">
        <v>101</v>
      </c>
      <c r="D508" s="23"/>
      <c r="E508" s="42"/>
      <c r="F508" s="43"/>
      <c r="G508" s="42"/>
      <c r="H508" s="43"/>
      <c r="I508" s="25" t="s">
        <v>15</v>
      </c>
      <c r="J508" s="34" t="str">
        <f>IF(E508="","",raw_data!C500)</f>
        <v/>
      </c>
      <c r="K508" s="46"/>
      <c r="L508" s="87"/>
      <c r="M508" s="19" t="str">
        <f>IF(E508="","",raw_data!F500)</f>
        <v/>
      </c>
      <c r="N508" s="20" t="str">
        <f t="shared" si="20"/>
        <v/>
      </c>
      <c r="O508" s="90"/>
      <c r="P508" s="91"/>
      <c r="Q508" s="91"/>
      <c r="R508" s="91"/>
      <c r="S508" s="41" t="str">
        <f t="shared" si="19"/>
        <v/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2.75" customHeight="1" x14ac:dyDescent="0.2">
      <c r="A509" s="9">
        <v>19207</v>
      </c>
      <c r="B509" s="9" t="s">
        <v>159</v>
      </c>
      <c r="C509" s="9" t="s">
        <v>272</v>
      </c>
      <c r="D509" s="23"/>
      <c r="E509" s="42"/>
      <c r="F509" s="43"/>
      <c r="G509" s="42"/>
      <c r="H509" s="43"/>
      <c r="I509" s="25" t="s">
        <v>15</v>
      </c>
      <c r="J509" s="34" t="str">
        <f>IF(E509="","",raw_data!C501)</f>
        <v/>
      </c>
      <c r="K509" s="46"/>
      <c r="L509" s="87"/>
      <c r="M509" s="19" t="str">
        <f>IF(E509="","",raw_data!F501)</f>
        <v/>
      </c>
      <c r="N509" s="20" t="str">
        <f t="shared" si="20"/>
        <v/>
      </c>
      <c r="O509" s="90"/>
      <c r="P509" s="91"/>
      <c r="Q509" s="91"/>
      <c r="R509" s="91"/>
      <c r="S509" s="41" t="str">
        <f t="shared" si="19"/>
        <v/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2.75" customHeight="1" x14ac:dyDescent="0.2">
      <c r="A510" s="9">
        <v>19208</v>
      </c>
      <c r="B510" s="9" t="s">
        <v>159</v>
      </c>
      <c r="C510" s="9" t="s">
        <v>273</v>
      </c>
      <c r="D510" s="23"/>
      <c r="E510" s="42"/>
      <c r="F510" s="43"/>
      <c r="G510" s="42"/>
      <c r="H510" s="43"/>
      <c r="I510" s="25" t="s">
        <v>15</v>
      </c>
      <c r="J510" s="34" t="str">
        <f>IF(E510="","",raw_data!C502)</f>
        <v/>
      </c>
      <c r="K510" s="46"/>
      <c r="L510" s="87"/>
      <c r="M510" s="19" t="str">
        <f>IF(E510="","",raw_data!F502)</f>
        <v/>
      </c>
      <c r="N510" s="20" t="str">
        <f t="shared" si="20"/>
        <v/>
      </c>
      <c r="O510" s="90"/>
      <c r="P510" s="91"/>
      <c r="Q510" s="91"/>
      <c r="R510" s="91"/>
      <c r="S510" s="41" t="str">
        <f t="shared" si="19"/>
        <v/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2.75" customHeight="1" x14ac:dyDescent="0.2">
      <c r="A511" s="9">
        <v>19209</v>
      </c>
      <c r="B511" s="9" t="s">
        <v>159</v>
      </c>
      <c r="C511" s="9" t="s">
        <v>443</v>
      </c>
      <c r="D511" s="23"/>
      <c r="E511" s="42"/>
      <c r="F511" s="43"/>
      <c r="G511" s="42"/>
      <c r="H511" s="43"/>
      <c r="I511" s="25" t="s">
        <v>15</v>
      </c>
      <c r="J511" s="34" t="str">
        <f>IF(E511="","",raw_data!C503)</f>
        <v/>
      </c>
      <c r="K511" s="46"/>
      <c r="L511" s="87"/>
      <c r="M511" s="19" t="str">
        <f>IF(E511="","",raw_data!F503)</f>
        <v/>
      </c>
      <c r="N511" s="20" t="str">
        <f t="shared" si="20"/>
        <v/>
      </c>
      <c r="O511" s="90"/>
      <c r="P511" s="91"/>
      <c r="Q511" s="91"/>
      <c r="R511" s="91"/>
      <c r="S511" s="41" t="str">
        <f t="shared" si="19"/>
        <v/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2.75" customHeight="1" x14ac:dyDescent="0.2">
      <c r="A512" s="9">
        <v>19210</v>
      </c>
      <c r="B512" s="9" t="s">
        <v>159</v>
      </c>
      <c r="C512" s="9" t="s">
        <v>346</v>
      </c>
      <c r="D512" s="23"/>
      <c r="E512" s="42"/>
      <c r="F512" s="43"/>
      <c r="G512" s="42"/>
      <c r="H512" s="43"/>
      <c r="I512" s="25" t="s">
        <v>15</v>
      </c>
      <c r="J512" s="34" t="str">
        <f>IF(E512="","",raw_data!C504)</f>
        <v/>
      </c>
      <c r="K512" s="46"/>
      <c r="L512" s="87"/>
      <c r="M512" s="19" t="str">
        <f>IF(E512="","",raw_data!F504)</f>
        <v/>
      </c>
      <c r="N512" s="20" t="str">
        <f t="shared" si="20"/>
        <v/>
      </c>
      <c r="O512" s="90"/>
      <c r="P512" s="91"/>
      <c r="Q512" s="91"/>
      <c r="R512" s="91"/>
      <c r="S512" s="41" t="str">
        <f t="shared" si="19"/>
        <v/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2.75" customHeight="1" x14ac:dyDescent="0.2">
      <c r="A513" s="9">
        <v>19211</v>
      </c>
      <c r="B513" s="9" t="s">
        <v>159</v>
      </c>
      <c r="C513" s="9" t="s">
        <v>347</v>
      </c>
      <c r="D513" s="23"/>
      <c r="E513" s="42"/>
      <c r="F513" s="43"/>
      <c r="G513" s="42"/>
      <c r="H513" s="43"/>
      <c r="I513" s="25" t="s">
        <v>15</v>
      </c>
      <c r="J513" s="34" t="str">
        <f>IF(E513="","",raw_data!C505)</f>
        <v/>
      </c>
      <c r="K513" s="46"/>
      <c r="L513" s="87"/>
      <c r="M513" s="19" t="str">
        <f>IF(E513="","",raw_data!F505)</f>
        <v/>
      </c>
      <c r="N513" s="20" t="str">
        <f t="shared" si="20"/>
        <v/>
      </c>
      <c r="O513" s="90"/>
      <c r="P513" s="91"/>
      <c r="Q513" s="91"/>
      <c r="R513" s="91"/>
      <c r="S513" s="41" t="str">
        <f t="shared" si="19"/>
        <v/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2.75" customHeight="1" x14ac:dyDescent="0.2">
      <c r="A514" s="9">
        <v>19212</v>
      </c>
      <c r="B514" s="9" t="s">
        <v>159</v>
      </c>
      <c r="C514" s="9" t="s">
        <v>348</v>
      </c>
      <c r="D514" s="23"/>
      <c r="E514" s="42"/>
      <c r="F514" s="43"/>
      <c r="G514" s="42"/>
      <c r="H514" s="43"/>
      <c r="I514" s="25" t="s">
        <v>15</v>
      </c>
      <c r="J514" s="34" t="str">
        <f>IF(E514="","",raw_data!C506)</f>
        <v/>
      </c>
      <c r="K514" s="46"/>
      <c r="L514" s="87"/>
      <c r="M514" s="19" t="str">
        <f>IF(E514="","",raw_data!F506)</f>
        <v/>
      </c>
      <c r="N514" s="20" t="str">
        <f t="shared" si="20"/>
        <v/>
      </c>
      <c r="O514" s="90"/>
      <c r="P514" s="91"/>
      <c r="Q514" s="91"/>
      <c r="R514" s="91"/>
      <c r="S514" s="41" t="str">
        <f t="shared" si="19"/>
        <v/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2.75" customHeight="1" x14ac:dyDescent="0.2">
      <c r="A515" s="9">
        <v>19213</v>
      </c>
      <c r="B515" s="9" t="s">
        <v>159</v>
      </c>
      <c r="C515" s="9" t="s">
        <v>349</v>
      </c>
      <c r="D515" s="23"/>
      <c r="E515" s="42"/>
      <c r="F515" s="43"/>
      <c r="G515" s="42"/>
      <c r="H515" s="43"/>
      <c r="I515" s="25" t="s">
        <v>15</v>
      </c>
      <c r="J515" s="34" t="str">
        <f>IF(E515="","",raw_data!C507)</f>
        <v/>
      </c>
      <c r="K515" s="46"/>
      <c r="L515" s="87"/>
      <c r="M515" s="19" t="str">
        <f>IF(E515="","",raw_data!F507)</f>
        <v/>
      </c>
      <c r="N515" s="20" t="str">
        <f t="shared" si="20"/>
        <v/>
      </c>
      <c r="O515" s="90"/>
      <c r="P515" s="91"/>
      <c r="Q515" s="91"/>
      <c r="R515" s="91"/>
      <c r="S515" s="41" t="str">
        <f t="shared" si="19"/>
        <v/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2.75" customHeight="1" x14ac:dyDescent="0.2">
      <c r="A516" s="9">
        <v>19214</v>
      </c>
      <c r="B516" s="9" t="s">
        <v>159</v>
      </c>
      <c r="C516" s="9" t="s">
        <v>350</v>
      </c>
      <c r="D516" s="23"/>
      <c r="E516" s="42"/>
      <c r="F516" s="43"/>
      <c r="G516" s="42"/>
      <c r="H516" s="43"/>
      <c r="I516" s="25" t="s">
        <v>15</v>
      </c>
      <c r="J516" s="34" t="str">
        <f>IF(E516="","",raw_data!C508)</f>
        <v/>
      </c>
      <c r="K516" s="46"/>
      <c r="L516" s="87"/>
      <c r="M516" s="19" t="str">
        <f>IF(E516="","",raw_data!F508)</f>
        <v/>
      </c>
      <c r="N516" s="20" t="str">
        <f t="shared" si="20"/>
        <v/>
      </c>
      <c r="O516" s="90"/>
      <c r="P516" s="91"/>
      <c r="Q516" s="91"/>
      <c r="R516" s="91"/>
      <c r="S516" s="41" t="str">
        <f t="shared" si="19"/>
        <v/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2.75" customHeight="1" x14ac:dyDescent="0.2">
      <c r="A517" s="9">
        <v>19215</v>
      </c>
      <c r="B517" s="9" t="s">
        <v>159</v>
      </c>
      <c r="C517" s="9" t="s">
        <v>351</v>
      </c>
      <c r="D517" s="23"/>
      <c r="E517" s="42"/>
      <c r="F517" s="43"/>
      <c r="G517" s="42"/>
      <c r="H517" s="43"/>
      <c r="I517" s="25" t="s">
        <v>15</v>
      </c>
      <c r="J517" s="34" t="str">
        <f>IF(E517="","",raw_data!C509)</f>
        <v/>
      </c>
      <c r="K517" s="46"/>
      <c r="L517" s="87"/>
      <c r="M517" s="19" t="str">
        <f>IF(E517="","",raw_data!F509)</f>
        <v/>
      </c>
      <c r="N517" s="20" t="str">
        <f t="shared" si="20"/>
        <v/>
      </c>
      <c r="O517" s="90"/>
      <c r="P517" s="91"/>
      <c r="Q517" s="91"/>
      <c r="R517" s="91"/>
      <c r="S517" s="41" t="str">
        <f t="shared" si="19"/>
        <v/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2.75" customHeight="1" x14ac:dyDescent="0.2">
      <c r="A518" s="9">
        <v>19216</v>
      </c>
      <c r="B518" s="9" t="s">
        <v>159</v>
      </c>
      <c r="C518" s="9" t="s">
        <v>352</v>
      </c>
      <c r="D518" s="23"/>
      <c r="E518" s="42"/>
      <c r="F518" s="43"/>
      <c r="G518" s="42"/>
      <c r="H518" s="43"/>
      <c r="I518" s="25" t="s">
        <v>15</v>
      </c>
      <c r="J518" s="34" t="str">
        <f>IF(E518="","",raw_data!C510)</f>
        <v/>
      </c>
      <c r="K518" s="46"/>
      <c r="L518" s="87"/>
      <c r="M518" s="19" t="str">
        <f>IF(E518="","",raw_data!F510)</f>
        <v/>
      </c>
      <c r="N518" s="20" t="str">
        <f t="shared" si="20"/>
        <v/>
      </c>
      <c r="O518" s="90"/>
      <c r="P518" s="91"/>
      <c r="Q518" s="91"/>
      <c r="R518" s="91"/>
      <c r="S518" s="41" t="str">
        <f t="shared" si="19"/>
        <v/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2.75" customHeight="1" x14ac:dyDescent="0.2">
      <c r="A519" s="9">
        <v>19217</v>
      </c>
      <c r="B519" s="9" t="s">
        <v>159</v>
      </c>
      <c r="C519" s="9" t="s">
        <v>353</v>
      </c>
      <c r="D519" s="23"/>
      <c r="E519" s="42"/>
      <c r="F519" s="43"/>
      <c r="G519" s="42"/>
      <c r="H519" s="43"/>
      <c r="I519" s="25" t="s">
        <v>15</v>
      </c>
      <c r="J519" s="34" t="str">
        <f>IF(E519="","",raw_data!C511)</f>
        <v/>
      </c>
      <c r="K519" s="46"/>
      <c r="L519" s="87"/>
      <c r="M519" s="19" t="str">
        <f>IF(E519="","",raw_data!F511)</f>
        <v/>
      </c>
      <c r="N519" s="20" t="str">
        <f t="shared" si="20"/>
        <v/>
      </c>
      <c r="O519" s="90"/>
      <c r="P519" s="91"/>
      <c r="Q519" s="91"/>
      <c r="R519" s="91"/>
      <c r="S519" s="41" t="str">
        <f t="shared" si="19"/>
        <v/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2.75" customHeight="1" x14ac:dyDescent="0.2">
      <c r="A520" s="9">
        <v>19218</v>
      </c>
      <c r="B520" s="9" t="s">
        <v>159</v>
      </c>
      <c r="C520" s="9" t="s">
        <v>354</v>
      </c>
      <c r="D520" s="23"/>
      <c r="E520" s="42"/>
      <c r="F520" s="43"/>
      <c r="G520" s="42"/>
      <c r="H520" s="43"/>
      <c r="I520" s="25" t="s">
        <v>15</v>
      </c>
      <c r="J520" s="34" t="str">
        <f>IF(E520="","",raw_data!C512)</f>
        <v/>
      </c>
      <c r="K520" s="46"/>
      <c r="L520" s="87"/>
      <c r="M520" s="19" t="str">
        <f>IF(E520="","",raw_data!F512)</f>
        <v/>
      </c>
      <c r="N520" s="20" t="str">
        <f t="shared" si="20"/>
        <v/>
      </c>
      <c r="O520" s="90"/>
      <c r="P520" s="91"/>
      <c r="Q520" s="91"/>
      <c r="R520" s="91"/>
      <c r="S520" s="41" t="str">
        <f t="shared" si="19"/>
        <v/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2.75" customHeight="1" x14ac:dyDescent="0.2">
      <c r="A521" s="9">
        <v>19219</v>
      </c>
      <c r="B521" s="9" t="s">
        <v>159</v>
      </c>
      <c r="C521" s="9" t="s">
        <v>243</v>
      </c>
      <c r="D521" s="23"/>
      <c r="E521" s="42"/>
      <c r="F521" s="43"/>
      <c r="G521" s="42"/>
      <c r="H521" s="43"/>
      <c r="I521" s="25" t="s">
        <v>15</v>
      </c>
      <c r="J521" s="34" t="str">
        <f>IF(E521="","",raw_data!C513)</f>
        <v/>
      </c>
      <c r="K521" s="46"/>
      <c r="L521" s="87"/>
      <c r="M521" s="19" t="str">
        <f>IF(E521="","",raw_data!F513)</f>
        <v/>
      </c>
      <c r="N521" s="20" t="str">
        <f t="shared" si="20"/>
        <v/>
      </c>
      <c r="O521" s="90"/>
      <c r="P521" s="91"/>
      <c r="Q521" s="91"/>
      <c r="R521" s="91"/>
      <c r="S521" s="41" t="str">
        <f t="shared" si="19"/>
        <v/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2.75" customHeight="1" x14ac:dyDescent="0.2">
      <c r="A522" s="9">
        <v>19220</v>
      </c>
      <c r="B522" s="9" t="s">
        <v>159</v>
      </c>
      <c r="C522" s="9" t="s">
        <v>244</v>
      </c>
      <c r="D522" s="23"/>
      <c r="E522" s="42"/>
      <c r="F522" s="43"/>
      <c r="G522" s="42"/>
      <c r="H522" s="43"/>
      <c r="I522" s="25" t="s">
        <v>15</v>
      </c>
      <c r="J522" s="34" t="str">
        <f>IF(E522="","",raw_data!C514)</f>
        <v/>
      </c>
      <c r="K522" s="46"/>
      <c r="L522" s="87"/>
      <c r="M522" s="19" t="str">
        <f>IF(E522="","",raw_data!F514)</f>
        <v/>
      </c>
      <c r="N522" s="20" t="str">
        <f t="shared" si="20"/>
        <v/>
      </c>
      <c r="O522" s="90"/>
      <c r="P522" s="91"/>
      <c r="Q522" s="91"/>
      <c r="R522" s="91"/>
      <c r="S522" s="41" t="str">
        <f t="shared" ref="S522:S585" si="21">IF(E522="","",IF(OR(NOT(ISNUMBER(N522)),N522&lt;=(1-E522)),"erfüllt",IF(G522="Fehler","mit Fehler",IF(G522="Warnung","mit Warnung",""))))</f>
        <v/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2.75" customHeight="1" x14ac:dyDescent="0.2">
      <c r="A523" s="9">
        <v>19221</v>
      </c>
      <c r="B523" s="9" t="s">
        <v>159</v>
      </c>
      <c r="C523" s="9" t="s">
        <v>245</v>
      </c>
      <c r="D523" s="23"/>
      <c r="E523" s="42"/>
      <c r="F523" s="43"/>
      <c r="G523" s="42"/>
      <c r="H523" s="43"/>
      <c r="I523" s="25" t="s">
        <v>15</v>
      </c>
      <c r="J523" s="34" t="str">
        <f>IF(E523="","",raw_data!C515)</f>
        <v/>
      </c>
      <c r="K523" s="46"/>
      <c r="L523" s="87"/>
      <c r="M523" s="19" t="str">
        <f>IF(E523="","",raw_data!F515)</f>
        <v/>
      </c>
      <c r="N523" s="20" t="str">
        <f t="shared" ref="N523:N586" si="22">IF(E523="","",IFERROR(M523/J523,"-"))</f>
        <v/>
      </c>
      <c r="O523" s="90"/>
      <c r="P523" s="91"/>
      <c r="Q523" s="91"/>
      <c r="R523" s="91"/>
      <c r="S523" s="41" t="str">
        <f t="shared" si="21"/>
        <v/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2.75" customHeight="1" x14ac:dyDescent="0.2">
      <c r="A524" s="9">
        <v>19222</v>
      </c>
      <c r="B524" s="9" t="s">
        <v>159</v>
      </c>
      <c r="C524" s="9" t="s">
        <v>78</v>
      </c>
      <c r="D524" s="23"/>
      <c r="E524" s="42"/>
      <c r="F524" s="43"/>
      <c r="G524" s="42"/>
      <c r="H524" s="43"/>
      <c r="I524" s="25" t="s">
        <v>15</v>
      </c>
      <c r="J524" s="34" t="str">
        <f>IF(E524="","",raw_data!C516)</f>
        <v/>
      </c>
      <c r="K524" s="46"/>
      <c r="L524" s="87"/>
      <c r="M524" s="19" t="str">
        <f>IF(E524="","",raw_data!F516)</f>
        <v/>
      </c>
      <c r="N524" s="20" t="str">
        <f t="shared" si="22"/>
        <v/>
      </c>
      <c r="O524" s="90"/>
      <c r="P524" s="91"/>
      <c r="Q524" s="91"/>
      <c r="R524" s="91"/>
      <c r="S524" s="41" t="str">
        <f t="shared" si="21"/>
        <v/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2.75" customHeight="1" x14ac:dyDescent="0.2">
      <c r="A525" s="9">
        <v>19223</v>
      </c>
      <c r="B525" s="9" t="s">
        <v>159</v>
      </c>
      <c r="C525" s="9" t="s">
        <v>162</v>
      </c>
      <c r="D525" s="23"/>
      <c r="E525" s="42"/>
      <c r="F525" s="43"/>
      <c r="G525" s="42"/>
      <c r="H525" s="43"/>
      <c r="I525" s="25" t="s">
        <v>15</v>
      </c>
      <c r="J525" s="34" t="str">
        <f>IF(E525="","",raw_data!C517)</f>
        <v/>
      </c>
      <c r="K525" s="46"/>
      <c r="L525" s="87"/>
      <c r="M525" s="19" t="str">
        <f>IF(E525="","",raw_data!F517)</f>
        <v/>
      </c>
      <c r="N525" s="20" t="str">
        <f t="shared" si="22"/>
        <v/>
      </c>
      <c r="O525" s="90"/>
      <c r="P525" s="91"/>
      <c r="Q525" s="91"/>
      <c r="R525" s="91"/>
      <c r="S525" s="41" t="str">
        <f t="shared" si="21"/>
        <v/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2.75" customHeight="1" x14ac:dyDescent="0.2">
      <c r="A526" s="9">
        <v>19224</v>
      </c>
      <c r="B526" s="9" t="s">
        <v>159</v>
      </c>
      <c r="C526" s="9" t="s">
        <v>355</v>
      </c>
      <c r="D526" s="23"/>
      <c r="E526" s="42"/>
      <c r="F526" s="43"/>
      <c r="G526" s="42"/>
      <c r="H526" s="43"/>
      <c r="I526" s="25" t="s">
        <v>15</v>
      </c>
      <c r="J526" s="34" t="str">
        <f>IF(E526="","",raw_data!C518)</f>
        <v/>
      </c>
      <c r="K526" s="46"/>
      <c r="L526" s="87"/>
      <c r="M526" s="19" t="str">
        <f>IF(E526="","",raw_data!F518)</f>
        <v/>
      </c>
      <c r="N526" s="20" t="str">
        <f t="shared" si="22"/>
        <v/>
      </c>
      <c r="O526" s="90"/>
      <c r="P526" s="91"/>
      <c r="Q526" s="91"/>
      <c r="R526" s="91"/>
      <c r="S526" s="41" t="str">
        <f t="shared" si="21"/>
        <v/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2.75" customHeight="1" x14ac:dyDescent="0.2">
      <c r="A527" s="9">
        <v>19225</v>
      </c>
      <c r="B527" s="9" t="s">
        <v>159</v>
      </c>
      <c r="C527" s="9" t="s">
        <v>356</v>
      </c>
      <c r="D527" s="23"/>
      <c r="E527" s="42"/>
      <c r="F527" s="43"/>
      <c r="G527" s="42"/>
      <c r="H527" s="43"/>
      <c r="I527" s="25" t="s">
        <v>15</v>
      </c>
      <c r="J527" s="34" t="str">
        <f>IF(E527="","",raw_data!C519)</f>
        <v/>
      </c>
      <c r="K527" s="46"/>
      <c r="L527" s="87"/>
      <c r="M527" s="19" t="str">
        <f>IF(E527="","",raw_data!F519)</f>
        <v/>
      </c>
      <c r="N527" s="20" t="str">
        <f t="shared" si="22"/>
        <v/>
      </c>
      <c r="O527" s="90"/>
      <c r="P527" s="91"/>
      <c r="Q527" s="91"/>
      <c r="R527" s="91"/>
      <c r="S527" s="41" t="str">
        <f t="shared" si="21"/>
        <v/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2.75" customHeight="1" x14ac:dyDescent="0.2">
      <c r="A528" s="9">
        <v>19226</v>
      </c>
      <c r="B528" s="9" t="s">
        <v>159</v>
      </c>
      <c r="C528" s="9" t="s">
        <v>357</v>
      </c>
      <c r="D528" s="23"/>
      <c r="E528" s="42"/>
      <c r="F528" s="43"/>
      <c r="G528" s="42"/>
      <c r="H528" s="43"/>
      <c r="I528" s="25" t="s">
        <v>15</v>
      </c>
      <c r="J528" s="34" t="str">
        <f>IF(E528="","",raw_data!C520)</f>
        <v/>
      </c>
      <c r="K528" s="46"/>
      <c r="L528" s="87"/>
      <c r="M528" s="19" t="str">
        <f>IF(E528="","",raw_data!F520)</f>
        <v/>
      </c>
      <c r="N528" s="20" t="str">
        <f t="shared" si="22"/>
        <v/>
      </c>
      <c r="O528" s="90"/>
      <c r="P528" s="91"/>
      <c r="Q528" s="91"/>
      <c r="R528" s="91"/>
      <c r="S528" s="41" t="str">
        <f t="shared" si="21"/>
        <v/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2.75" customHeight="1" x14ac:dyDescent="0.2">
      <c r="A529" s="9">
        <v>19227</v>
      </c>
      <c r="B529" s="9" t="s">
        <v>159</v>
      </c>
      <c r="C529" s="9" t="s">
        <v>358</v>
      </c>
      <c r="D529" s="23"/>
      <c r="E529" s="42"/>
      <c r="F529" s="43"/>
      <c r="G529" s="42"/>
      <c r="H529" s="43"/>
      <c r="I529" s="25" t="s">
        <v>15</v>
      </c>
      <c r="J529" s="34" t="str">
        <f>IF(E529="","",raw_data!C521)</f>
        <v/>
      </c>
      <c r="K529" s="46"/>
      <c r="L529" s="87"/>
      <c r="M529" s="19" t="str">
        <f>IF(E529="","",raw_data!F521)</f>
        <v/>
      </c>
      <c r="N529" s="20" t="str">
        <f t="shared" si="22"/>
        <v/>
      </c>
      <c r="O529" s="90"/>
      <c r="P529" s="91"/>
      <c r="Q529" s="91"/>
      <c r="R529" s="91"/>
      <c r="S529" s="41" t="str">
        <f t="shared" si="21"/>
        <v/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2.75" customHeight="1" x14ac:dyDescent="0.2">
      <c r="A530" s="9">
        <v>19228</v>
      </c>
      <c r="B530" s="9" t="s">
        <v>159</v>
      </c>
      <c r="C530" s="9" t="s">
        <v>359</v>
      </c>
      <c r="D530" s="23"/>
      <c r="E530" s="42"/>
      <c r="F530" s="43"/>
      <c r="G530" s="42"/>
      <c r="H530" s="43"/>
      <c r="I530" s="25" t="s">
        <v>15</v>
      </c>
      <c r="J530" s="34" t="str">
        <f>IF(E530="","",raw_data!C522)</f>
        <v/>
      </c>
      <c r="K530" s="46"/>
      <c r="L530" s="87"/>
      <c r="M530" s="19" t="str">
        <f>IF(E530="","",raw_data!F522)</f>
        <v/>
      </c>
      <c r="N530" s="20" t="str">
        <f t="shared" si="22"/>
        <v/>
      </c>
      <c r="O530" s="90"/>
      <c r="P530" s="91"/>
      <c r="Q530" s="91"/>
      <c r="R530" s="91"/>
      <c r="S530" s="41" t="str">
        <f t="shared" si="21"/>
        <v/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2.75" customHeight="1" x14ac:dyDescent="0.2">
      <c r="A531" s="9">
        <v>19229</v>
      </c>
      <c r="B531" s="9" t="s">
        <v>159</v>
      </c>
      <c r="C531" s="9" t="s">
        <v>360</v>
      </c>
      <c r="D531" s="23"/>
      <c r="E531" s="42"/>
      <c r="F531" s="43"/>
      <c r="G531" s="42"/>
      <c r="H531" s="43"/>
      <c r="I531" s="25" t="s">
        <v>15</v>
      </c>
      <c r="J531" s="34" t="str">
        <f>IF(E531="","",raw_data!C523)</f>
        <v/>
      </c>
      <c r="K531" s="46"/>
      <c r="L531" s="87"/>
      <c r="M531" s="19" t="str">
        <f>IF(E531="","",raw_data!F523)</f>
        <v/>
      </c>
      <c r="N531" s="20" t="str">
        <f t="shared" si="22"/>
        <v/>
      </c>
      <c r="O531" s="90"/>
      <c r="P531" s="91"/>
      <c r="Q531" s="91"/>
      <c r="R531" s="91"/>
      <c r="S531" s="41" t="str">
        <f t="shared" si="21"/>
        <v/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2.75" customHeight="1" x14ac:dyDescent="0.2">
      <c r="A532" s="9">
        <v>19230</v>
      </c>
      <c r="B532" s="9" t="s">
        <v>159</v>
      </c>
      <c r="C532" s="9" t="s">
        <v>361</v>
      </c>
      <c r="D532" s="23"/>
      <c r="E532" s="42"/>
      <c r="F532" s="43"/>
      <c r="G532" s="42"/>
      <c r="H532" s="43"/>
      <c r="I532" s="25" t="s">
        <v>15</v>
      </c>
      <c r="J532" s="34" t="str">
        <f>IF(E532="","",raw_data!C524)</f>
        <v/>
      </c>
      <c r="K532" s="46"/>
      <c r="L532" s="87"/>
      <c r="M532" s="19" t="str">
        <f>IF(E532="","",raw_data!F524)</f>
        <v/>
      </c>
      <c r="N532" s="20" t="str">
        <f t="shared" si="22"/>
        <v/>
      </c>
      <c r="O532" s="90"/>
      <c r="P532" s="91"/>
      <c r="Q532" s="91"/>
      <c r="R532" s="91"/>
      <c r="S532" s="41" t="str">
        <f t="shared" si="21"/>
        <v/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2.75" customHeight="1" x14ac:dyDescent="0.2">
      <c r="A533" s="9">
        <v>19231</v>
      </c>
      <c r="B533" s="9" t="s">
        <v>159</v>
      </c>
      <c r="C533" s="9" t="s">
        <v>362</v>
      </c>
      <c r="D533" s="23"/>
      <c r="E533" s="42"/>
      <c r="F533" s="43"/>
      <c r="G533" s="42"/>
      <c r="H533" s="43"/>
      <c r="I533" s="25" t="s">
        <v>15</v>
      </c>
      <c r="J533" s="34" t="str">
        <f>IF(E533="","",raw_data!C525)</f>
        <v/>
      </c>
      <c r="K533" s="46"/>
      <c r="L533" s="87"/>
      <c r="M533" s="19" t="str">
        <f>IF(E533="","",raw_data!F525)</f>
        <v/>
      </c>
      <c r="N533" s="20" t="str">
        <f t="shared" si="22"/>
        <v/>
      </c>
      <c r="O533" s="90"/>
      <c r="P533" s="91"/>
      <c r="Q533" s="91"/>
      <c r="R533" s="91"/>
      <c r="S533" s="41" t="str">
        <f t="shared" si="21"/>
        <v/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2.75" customHeight="1" x14ac:dyDescent="0.2">
      <c r="A534" s="9">
        <v>19232</v>
      </c>
      <c r="B534" s="9" t="s">
        <v>159</v>
      </c>
      <c r="C534" s="9" t="s">
        <v>363</v>
      </c>
      <c r="D534" s="23"/>
      <c r="E534" s="42"/>
      <c r="F534" s="43"/>
      <c r="G534" s="42"/>
      <c r="H534" s="43"/>
      <c r="I534" s="25" t="s">
        <v>15</v>
      </c>
      <c r="J534" s="34" t="str">
        <f>IF(E534="","",raw_data!C526)</f>
        <v/>
      </c>
      <c r="K534" s="46"/>
      <c r="L534" s="87"/>
      <c r="M534" s="19" t="str">
        <f>IF(E534="","",raw_data!F526)</f>
        <v/>
      </c>
      <c r="N534" s="20" t="str">
        <f t="shared" si="22"/>
        <v/>
      </c>
      <c r="O534" s="90"/>
      <c r="P534" s="91"/>
      <c r="Q534" s="91"/>
      <c r="R534" s="91"/>
      <c r="S534" s="41" t="str">
        <f t="shared" si="21"/>
        <v/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2.75" customHeight="1" x14ac:dyDescent="0.2">
      <c r="A535" s="9">
        <v>19233</v>
      </c>
      <c r="B535" s="9" t="s">
        <v>159</v>
      </c>
      <c r="C535" s="9" t="s">
        <v>106</v>
      </c>
      <c r="D535" s="23"/>
      <c r="E535" s="42">
        <v>1</v>
      </c>
      <c r="F535" s="43"/>
      <c r="G535" s="42" t="s">
        <v>155</v>
      </c>
      <c r="H535" s="43"/>
      <c r="I535" s="25" t="s">
        <v>15</v>
      </c>
      <c r="J535" s="34">
        <f>IF(E535="","",raw_data!C527)</f>
        <v>0</v>
      </c>
      <c r="K535" s="46"/>
      <c r="L535" s="87"/>
      <c r="M535" s="19">
        <f>IF(E535="","",raw_data!F527)</f>
        <v>0</v>
      </c>
      <c r="N535" s="20" t="str">
        <f t="shared" si="22"/>
        <v>-</v>
      </c>
      <c r="O535" s="90"/>
      <c r="P535" s="91"/>
      <c r="Q535" s="91"/>
      <c r="R535" s="91"/>
      <c r="S535" s="41" t="str">
        <f t="shared" si="21"/>
        <v>erfüllt</v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2.75" customHeight="1" x14ac:dyDescent="0.2">
      <c r="A536" s="9">
        <v>19234</v>
      </c>
      <c r="B536" s="9" t="s">
        <v>159</v>
      </c>
      <c r="C536" s="9" t="s">
        <v>107</v>
      </c>
      <c r="D536" s="23"/>
      <c r="E536" s="42">
        <v>1</v>
      </c>
      <c r="F536" s="43"/>
      <c r="G536" s="42" t="s">
        <v>155</v>
      </c>
      <c r="H536" s="43"/>
      <c r="I536" s="25" t="s">
        <v>15</v>
      </c>
      <c r="J536" s="34">
        <f>IF(E536="","",raw_data!C528)</f>
        <v>0</v>
      </c>
      <c r="K536" s="46"/>
      <c r="L536" s="87"/>
      <c r="M536" s="19">
        <f>IF(E536="","",raw_data!F528)</f>
        <v>0</v>
      </c>
      <c r="N536" s="20" t="str">
        <f t="shared" si="22"/>
        <v>-</v>
      </c>
      <c r="O536" s="90"/>
      <c r="P536" s="91"/>
      <c r="Q536" s="91"/>
      <c r="R536" s="91"/>
      <c r="S536" s="41" t="str">
        <f t="shared" si="21"/>
        <v>erfüllt</v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2.75" customHeight="1" x14ac:dyDescent="0.2">
      <c r="A537" s="9">
        <v>19235</v>
      </c>
      <c r="B537" s="9" t="s">
        <v>159</v>
      </c>
      <c r="C537" s="9" t="s">
        <v>270</v>
      </c>
      <c r="D537" s="23"/>
      <c r="E537" s="42"/>
      <c r="F537" s="43"/>
      <c r="G537" s="42"/>
      <c r="H537" s="43"/>
      <c r="I537" s="25" t="s">
        <v>15</v>
      </c>
      <c r="J537" s="34" t="str">
        <f>IF(E537="","",raw_data!C529)</f>
        <v/>
      </c>
      <c r="K537" s="46"/>
      <c r="L537" s="87"/>
      <c r="M537" s="19" t="str">
        <f>IF(E537="","",raw_data!F529)</f>
        <v/>
      </c>
      <c r="N537" s="20" t="str">
        <f t="shared" si="22"/>
        <v/>
      </c>
      <c r="O537" s="90"/>
      <c r="P537" s="91"/>
      <c r="Q537" s="91"/>
      <c r="R537" s="91"/>
      <c r="S537" s="41" t="str">
        <f t="shared" si="21"/>
        <v/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2.75" customHeight="1" x14ac:dyDescent="0.2">
      <c r="A538" s="9">
        <v>19236</v>
      </c>
      <c r="B538" s="9" t="s">
        <v>159</v>
      </c>
      <c r="C538" s="9" t="s">
        <v>271</v>
      </c>
      <c r="D538" s="23"/>
      <c r="E538" s="42"/>
      <c r="F538" s="43"/>
      <c r="G538" s="42"/>
      <c r="H538" s="43"/>
      <c r="I538" s="25" t="s">
        <v>15</v>
      </c>
      <c r="J538" s="34" t="str">
        <f>IF(E538="","",raw_data!C530)</f>
        <v/>
      </c>
      <c r="K538" s="46"/>
      <c r="L538" s="87"/>
      <c r="M538" s="19" t="str">
        <f>IF(E538="","",raw_data!F530)</f>
        <v/>
      </c>
      <c r="N538" s="20" t="str">
        <f t="shared" si="22"/>
        <v/>
      </c>
      <c r="O538" s="90"/>
      <c r="P538" s="91"/>
      <c r="Q538" s="91"/>
      <c r="R538" s="91"/>
      <c r="S538" s="41" t="str">
        <f t="shared" si="21"/>
        <v/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2.75" customHeight="1" x14ac:dyDescent="0.2">
      <c r="A539" s="9">
        <v>19237</v>
      </c>
      <c r="B539" s="9" t="s">
        <v>159</v>
      </c>
      <c r="C539" s="9" t="s">
        <v>444</v>
      </c>
      <c r="D539" s="23"/>
      <c r="E539" s="42"/>
      <c r="F539" s="43"/>
      <c r="G539" s="42"/>
      <c r="H539" s="43"/>
      <c r="I539" s="25" t="s">
        <v>15</v>
      </c>
      <c r="J539" s="34" t="str">
        <f>IF(E539="","",raw_data!C531)</f>
        <v/>
      </c>
      <c r="K539" s="46"/>
      <c r="L539" s="87"/>
      <c r="M539" s="19" t="str">
        <f>IF(E539="","",raw_data!F531)</f>
        <v/>
      </c>
      <c r="N539" s="20" t="str">
        <f t="shared" si="22"/>
        <v/>
      </c>
      <c r="O539" s="90"/>
      <c r="P539" s="91"/>
      <c r="Q539" s="91"/>
      <c r="R539" s="91"/>
      <c r="S539" s="41" t="str">
        <f t="shared" si="21"/>
        <v/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2.75" customHeight="1" x14ac:dyDescent="0.2">
      <c r="A540" s="9">
        <v>19238</v>
      </c>
      <c r="B540" s="9" t="s">
        <v>159</v>
      </c>
      <c r="C540" s="9" t="s">
        <v>246</v>
      </c>
      <c r="D540" s="23"/>
      <c r="E540" s="42"/>
      <c r="F540" s="43"/>
      <c r="G540" s="42"/>
      <c r="H540" s="43"/>
      <c r="I540" s="25" t="s">
        <v>15</v>
      </c>
      <c r="J540" s="34" t="str">
        <f>IF(E540="","",raw_data!C532)</f>
        <v/>
      </c>
      <c r="K540" s="46"/>
      <c r="L540" s="87"/>
      <c r="M540" s="19" t="str">
        <f>IF(E540="","",raw_data!F532)</f>
        <v/>
      </c>
      <c r="N540" s="20" t="str">
        <f t="shared" si="22"/>
        <v/>
      </c>
      <c r="O540" s="90"/>
      <c r="P540" s="91"/>
      <c r="Q540" s="91"/>
      <c r="R540" s="91"/>
      <c r="S540" s="41" t="str">
        <f t="shared" si="21"/>
        <v/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2.75" customHeight="1" x14ac:dyDescent="0.2">
      <c r="A541" s="9">
        <v>19239</v>
      </c>
      <c r="B541" s="9" t="s">
        <v>159</v>
      </c>
      <c r="C541" s="9" t="s">
        <v>247</v>
      </c>
      <c r="D541" s="23"/>
      <c r="E541" s="42"/>
      <c r="F541" s="43"/>
      <c r="G541" s="42"/>
      <c r="H541" s="43"/>
      <c r="I541" s="25" t="s">
        <v>15</v>
      </c>
      <c r="J541" s="34" t="str">
        <f>IF(E541="","",raw_data!C533)</f>
        <v/>
      </c>
      <c r="K541" s="46"/>
      <c r="L541" s="87"/>
      <c r="M541" s="19" t="str">
        <f>IF(E541="","",raw_data!F533)</f>
        <v/>
      </c>
      <c r="N541" s="20" t="str">
        <f t="shared" si="22"/>
        <v/>
      </c>
      <c r="O541" s="90"/>
      <c r="P541" s="91"/>
      <c r="Q541" s="91"/>
      <c r="R541" s="91"/>
      <c r="S541" s="41" t="str">
        <f t="shared" si="21"/>
        <v/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2.75" customHeight="1" x14ac:dyDescent="0.2">
      <c r="A542" s="9">
        <v>19240</v>
      </c>
      <c r="B542" s="9" t="s">
        <v>159</v>
      </c>
      <c r="C542" s="9" t="s">
        <v>248</v>
      </c>
      <c r="D542" s="23"/>
      <c r="E542" s="42"/>
      <c r="F542" s="43"/>
      <c r="G542" s="42"/>
      <c r="H542" s="43"/>
      <c r="I542" s="25" t="s">
        <v>15</v>
      </c>
      <c r="J542" s="34" t="str">
        <f>IF(E542="","",raw_data!C534)</f>
        <v/>
      </c>
      <c r="K542" s="46"/>
      <c r="L542" s="87"/>
      <c r="M542" s="19" t="str">
        <f>IF(E542="","",raw_data!F534)</f>
        <v/>
      </c>
      <c r="N542" s="20" t="str">
        <f t="shared" si="22"/>
        <v/>
      </c>
      <c r="O542" s="90"/>
      <c r="P542" s="91"/>
      <c r="Q542" s="91"/>
      <c r="R542" s="91"/>
      <c r="S542" s="41" t="str">
        <f t="shared" si="21"/>
        <v/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2.75" customHeight="1" x14ac:dyDescent="0.2">
      <c r="A543" s="9">
        <v>19241</v>
      </c>
      <c r="B543" s="9" t="s">
        <v>159</v>
      </c>
      <c r="C543" s="9" t="s">
        <v>9</v>
      </c>
      <c r="D543" s="23"/>
      <c r="E543" s="42">
        <v>1</v>
      </c>
      <c r="F543" s="43"/>
      <c r="G543" s="42" t="s">
        <v>155</v>
      </c>
      <c r="H543" s="43"/>
      <c r="I543" s="25" t="s">
        <v>15</v>
      </c>
      <c r="J543" s="34">
        <f>IF(E543="","",raw_data!C535)</f>
        <v>0</v>
      </c>
      <c r="K543" s="46"/>
      <c r="L543" s="87"/>
      <c r="M543" s="19">
        <f>IF(E543="","",raw_data!F535)</f>
        <v>0</v>
      </c>
      <c r="N543" s="20" t="str">
        <f t="shared" si="22"/>
        <v>-</v>
      </c>
      <c r="O543" s="90"/>
      <c r="P543" s="91"/>
      <c r="Q543" s="91"/>
      <c r="R543" s="91"/>
      <c r="S543" s="41" t="str">
        <f t="shared" si="21"/>
        <v>erfüllt</v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2.75" customHeight="1" x14ac:dyDescent="0.2">
      <c r="A544" s="9">
        <v>19242</v>
      </c>
      <c r="B544" s="9" t="s">
        <v>159</v>
      </c>
      <c r="C544" s="9" t="s">
        <v>241</v>
      </c>
      <c r="D544" s="23"/>
      <c r="E544" s="42">
        <v>1</v>
      </c>
      <c r="F544" s="43"/>
      <c r="G544" s="42" t="s">
        <v>155</v>
      </c>
      <c r="H544" s="43"/>
      <c r="I544" s="25" t="s">
        <v>15</v>
      </c>
      <c r="J544" s="34">
        <f>IF(E544="","",raw_data!C536)</f>
        <v>0</v>
      </c>
      <c r="K544" s="46"/>
      <c r="L544" s="87"/>
      <c r="M544" s="19">
        <f>IF(E544="","",raw_data!F536)</f>
        <v>0</v>
      </c>
      <c r="N544" s="20" t="str">
        <f t="shared" si="22"/>
        <v>-</v>
      </c>
      <c r="O544" s="90"/>
      <c r="P544" s="91"/>
      <c r="Q544" s="91"/>
      <c r="R544" s="91"/>
      <c r="S544" s="41" t="str">
        <f t="shared" si="21"/>
        <v>erfüllt</v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2.75" customHeight="1" x14ac:dyDescent="0.2">
      <c r="A545" s="9">
        <v>19243</v>
      </c>
      <c r="B545" s="9" t="s">
        <v>159</v>
      </c>
      <c r="C545" s="9" t="s">
        <v>274</v>
      </c>
      <c r="D545" s="23"/>
      <c r="E545" s="42">
        <v>1</v>
      </c>
      <c r="F545" s="43"/>
      <c r="G545" s="42" t="s">
        <v>155</v>
      </c>
      <c r="H545" s="43"/>
      <c r="I545" s="25" t="s">
        <v>15</v>
      </c>
      <c r="J545" s="34">
        <f>IF(E545="","",raw_data!C537)</f>
        <v>0</v>
      </c>
      <c r="K545" s="46"/>
      <c r="L545" s="87"/>
      <c r="M545" s="19">
        <f>IF(E545="","",raw_data!F537)</f>
        <v>0</v>
      </c>
      <c r="N545" s="20" t="str">
        <f t="shared" si="22"/>
        <v>-</v>
      </c>
      <c r="O545" s="90"/>
      <c r="P545" s="91"/>
      <c r="Q545" s="91"/>
      <c r="R545" s="91"/>
      <c r="S545" s="41" t="str">
        <f t="shared" si="21"/>
        <v>erfüllt</v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2.75" customHeight="1" x14ac:dyDescent="0.2">
      <c r="A546" s="9">
        <v>19244</v>
      </c>
      <c r="B546" s="9" t="s">
        <v>159</v>
      </c>
      <c r="C546" s="9" t="s">
        <v>108</v>
      </c>
      <c r="D546" s="23"/>
      <c r="E546" s="42">
        <v>1</v>
      </c>
      <c r="F546" s="43"/>
      <c r="G546" s="42" t="s">
        <v>155</v>
      </c>
      <c r="H546" s="43"/>
      <c r="I546" s="25" t="s">
        <v>15</v>
      </c>
      <c r="J546" s="34">
        <f>IF(E546="","",raw_data!C538)</f>
        <v>0</v>
      </c>
      <c r="K546" s="46"/>
      <c r="L546" s="87"/>
      <c r="M546" s="19">
        <f>IF(E546="","",raw_data!F538)</f>
        <v>0</v>
      </c>
      <c r="N546" s="20" t="str">
        <f t="shared" si="22"/>
        <v>-</v>
      </c>
      <c r="O546" s="90"/>
      <c r="P546" s="91"/>
      <c r="Q546" s="91"/>
      <c r="R546" s="91"/>
      <c r="S546" s="41" t="str">
        <f t="shared" si="21"/>
        <v>erfüllt</v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2.75" customHeight="1" x14ac:dyDescent="0.2">
      <c r="A547" s="9">
        <v>19245</v>
      </c>
      <c r="B547" s="9" t="s">
        <v>159</v>
      </c>
      <c r="C547" s="9" t="s">
        <v>275</v>
      </c>
      <c r="D547" s="23"/>
      <c r="E547" s="42">
        <v>1</v>
      </c>
      <c r="F547" s="43"/>
      <c r="G547" s="42" t="s">
        <v>155</v>
      </c>
      <c r="H547" s="43"/>
      <c r="I547" s="25" t="s">
        <v>15</v>
      </c>
      <c r="J547" s="34">
        <f>IF(E547="","",raw_data!C539)</f>
        <v>0</v>
      </c>
      <c r="K547" s="46"/>
      <c r="L547" s="87"/>
      <c r="M547" s="19">
        <f>IF(E547="","",raw_data!F539)</f>
        <v>0</v>
      </c>
      <c r="N547" s="20" t="str">
        <f t="shared" si="22"/>
        <v>-</v>
      </c>
      <c r="O547" s="90"/>
      <c r="P547" s="91"/>
      <c r="Q547" s="91"/>
      <c r="R547" s="91"/>
      <c r="S547" s="41" t="str">
        <f t="shared" si="21"/>
        <v>erfüllt</v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2.75" customHeight="1" x14ac:dyDescent="0.2">
      <c r="A548" s="9">
        <v>19246</v>
      </c>
      <c r="B548" s="9" t="s">
        <v>159</v>
      </c>
      <c r="C548" s="9" t="s">
        <v>109</v>
      </c>
      <c r="D548" s="23"/>
      <c r="E548" s="42">
        <v>1</v>
      </c>
      <c r="F548" s="43"/>
      <c r="G548" s="42" t="s">
        <v>155</v>
      </c>
      <c r="H548" s="43"/>
      <c r="I548" s="25" t="s">
        <v>15</v>
      </c>
      <c r="J548" s="34">
        <f>IF(E548="","",raw_data!C540)</f>
        <v>0</v>
      </c>
      <c r="K548" s="46"/>
      <c r="L548" s="87"/>
      <c r="M548" s="19">
        <f>IF(E548="","",raw_data!F540)</f>
        <v>0</v>
      </c>
      <c r="N548" s="20" t="str">
        <f t="shared" si="22"/>
        <v>-</v>
      </c>
      <c r="O548" s="90"/>
      <c r="P548" s="91"/>
      <c r="Q548" s="91"/>
      <c r="R548" s="91"/>
      <c r="S548" s="41" t="str">
        <f t="shared" si="21"/>
        <v>erfüllt</v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2.75" customHeight="1" x14ac:dyDescent="0.2">
      <c r="A549" s="9">
        <v>19247</v>
      </c>
      <c r="B549" s="9" t="s">
        <v>159</v>
      </c>
      <c r="C549" s="9" t="s">
        <v>79</v>
      </c>
      <c r="D549" s="23"/>
      <c r="E549" s="42"/>
      <c r="F549" s="43"/>
      <c r="G549" s="42"/>
      <c r="H549" s="43"/>
      <c r="I549" s="25" t="s">
        <v>15</v>
      </c>
      <c r="J549" s="34" t="str">
        <f>IF(E549="","",raw_data!C541)</f>
        <v/>
      </c>
      <c r="K549" s="46"/>
      <c r="L549" s="87"/>
      <c r="M549" s="19" t="str">
        <f>IF(E549="","",raw_data!F541)</f>
        <v/>
      </c>
      <c r="N549" s="20" t="str">
        <f t="shared" si="22"/>
        <v/>
      </c>
      <c r="O549" s="90"/>
      <c r="P549" s="91"/>
      <c r="Q549" s="91"/>
      <c r="R549" s="91"/>
      <c r="S549" s="41" t="str">
        <f t="shared" si="21"/>
        <v/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2.75" customHeight="1" x14ac:dyDescent="0.2">
      <c r="A550" s="9">
        <v>19248</v>
      </c>
      <c r="B550" s="9" t="s">
        <v>159</v>
      </c>
      <c r="C550" s="9" t="s">
        <v>220</v>
      </c>
      <c r="D550" s="23"/>
      <c r="E550" s="42"/>
      <c r="F550" s="43"/>
      <c r="G550" s="42"/>
      <c r="H550" s="43"/>
      <c r="I550" s="25" t="s">
        <v>15</v>
      </c>
      <c r="J550" s="34" t="str">
        <f>IF(E550="","",raw_data!C542)</f>
        <v/>
      </c>
      <c r="K550" s="46"/>
      <c r="L550" s="87"/>
      <c r="M550" s="19" t="str">
        <f>IF(E550="","",raw_data!F542)</f>
        <v/>
      </c>
      <c r="N550" s="20" t="str">
        <f t="shared" si="22"/>
        <v/>
      </c>
      <c r="O550" s="90"/>
      <c r="P550" s="91"/>
      <c r="Q550" s="91"/>
      <c r="R550" s="91"/>
      <c r="S550" s="41" t="str">
        <f t="shared" si="21"/>
        <v/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2.75" customHeight="1" x14ac:dyDescent="0.2">
      <c r="A551" s="9">
        <v>19249</v>
      </c>
      <c r="B551" s="9" t="s">
        <v>159</v>
      </c>
      <c r="C551" s="9" t="s">
        <v>103</v>
      </c>
      <c r="D551" s="23"/>
      <c r="E551" s="42"/>
      <c r="F551" s="43"/>
      <c r="G551" s="42"/>
      <c r="H551" s="43"/>
      <c r="I551" s="25" t="s">
        <v>15</v>
      </c>
      <c r="J551" s="34" t="str">
        <f>IF(E551="","",raw_data!C543)</f>
        <v/>
      </c>
      <c r="K551" s="46"/>
      <c r="L551" s="87"/>
      <c r="M551" s="19" t="str">
        <f>IF(E551="","",raw_data!F543)</f>
        <v/>
      </c>
      <c r="N551" s="20" t="str">
        <f t="shared" si="22"/>
        <v/>
      </c>
      <c r="O551" s="90"/>
      <c r="P551" s="91"/>
      <c r="Q551" s="91"/>
      <c r="R551" s="91"/>
      <c r="S551" s="41" t="str">
        <f t="shared" si="21"/>
        <v/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2.75" customHeight="1" x14ac:dyDescent="0.2">
      <c r="A552" s="9">
        <v>19250</v>
      </c>
      <c r="B552" s="9" t="s">
        <v>159</v>
      </c>
      <c r="C552" s="9" t="s">
        <v>242</v>
      </c>
      <c r="D552" s="23"/>
      <c r="E552" s="42">
        <v>1</v>
      </c>
      <c r="F552" s="43"/>
      <c r="G552" s="42" t="s">
        <v>155</v>
      </c>
      <c r="H552" s="43"/>
      <c r="I552" s="25" t="s">
        <v>15</v>
      </c>
      <c r="J552" s="34">
        <f>IF(E552="","",raw_data!C544)</f>
        <v>0</v>
      </c>
      <c r="K552" s="46"/>
      <c r="L552" s="87"/>
      <c r="M552" s="19">
        <f>IF(E552="","",raw_data!F544)</f>
        <v>0</v>
      </c>
      <c r="N552" s="20" t="str">
        <f t="shared" si="22"/>
        <v>-</v>
      </c>
      <c r="O552" s="90"/>
      <c r="P552" s="91"/>
      <c r="Q552" s="91"/>
      <c r="R552" s="91"/>
      <c r="S552" s="41" t="str">
        <f t="shared" si="21"/>
        <v>erfüllt</v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2.75" customHeight="1" x14ac:dyDescent="0.2">
      <c r="A553" s="9">
        <v>19251</v>
      </c>
      <c r="B553" s="9" t="s">
        <v>159</v>
      </c>
      <c r="C553" s="9" t="s">
        <v>80</v>
      </c>
      <c r="D553" s="23"/>
      <c r="E553" s="42">
        <v>1</v>
      </c>
      <c r="F553" s="43"/>
      <c r="G553" s="42" t="s">
        <v>155</v>
      </c>
      <c r="H553" s="43"/>
      <c r="I553" s="25" t="s">
        <v>15</v>
      </c>
      <c r="J553" s="34">
        <f>IF(E553="","",raw_data!C545)</f>
        <v>0</v>
      </c>
      <c r="K553" s="46"/>
      <c r="L553" s="87"/>
      <c r="M553" s="19">
        <f>IF(E553="","",raw_data!F545)</f>
        <v>0</v>
      </c>
      <c r="N553" s="20" t="str">
        <f t="shared" si="22"/>
        <v>-</v>
      </c>
      <c r="O553" s="90"/>
      <c r="P553" s="91"/>
      <c r="Q553" s="91"/>
      <c r="R553" s="91"/>
      <c r="S553" s="41" t="str">
        <f t="shared" si="21"/>
        <v>erfüllt</v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2.75" customHeight="1" x14ac:dyDescent="0.2">
      <c r="A554" s="9">
        <v>19252</v>
      </c>
      <c r="B554" s="9" t="s">
        <v>159</v>
      </c>
      <c r="C554" s="9" t="s">
        <v>104</v>
      </c>
      <c r="D554" s="23"/>
      <c r="E554" s="42">
        <v>1</v>
      </c>
      <c r="F554" s="43"/>
      <c r="G554" s="42" t="s">
        <v>155</v>
      </c>
      <c r="H554" s="43"/>
      <c r="I554" s="25" t="s">
        <v>15</v>
      </c>
      <c r="J554" s="34">
        <f>IF(E554="","",raw_data!C546)</f>
        <v>0</v>
      </c>
      <c r="K554" s="46"/>
      <c r="L554" s="87"/>
      <c r="M554" s="19">
        <f>IF(E554="","",raw_data!F546)</f>
        <v>0</v>
      </c>
      <c r="N554" s="20" t="str">
        <f t="shared" si="22"/>
        <v>-</v>
      </c>
      <c r="O554" s="90"/>
      <c r="P554" s="91"/>
      <c r="Q554" s="91"/>
      <c r="R554" s="91"/>
      <c r="S554" s="41" t="str">
        <f t="shared" si="21"/>
        <v>erfüllt</v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2.75" customHeight="1" x14ac:dyDescent="0.2">
      <c r="A555" s="9">
        <v>19253</v>
      </c>
      <c r="B555" s="9" t="s">
        <v>159</v>
      </c>
      <c r="C555" s="9" t="s">
        <v>81</v>
      </c>
      <c r="D555" s="23"/>
      <c r="E555" s="42">
        <v>1</v>
      </c>
      <c r="F555" s="43"/>
      <c r="G555" s="42" t="s">
        <v>155</v>
      </c>
      <c r="H555" s="43"/>
      <c r="I555" s="25" t="s">
        <v>15</v>
      </c>
      <c r="J555" s="34">
        <f>IF(E555="","",raw_data!C547)</f>
        <v>0</v>
      </c>
      <c r="K555" s="46"/>
      <c r="L555" s="87"/>
      <c r="M555" s="19">
        <f>IF(E555="","",raw_data!F547)</f>
        <v>0</v>
      </c>
      <c r="N555" s="20" t="str">
        <f t="shared" si="22"/>
        <v>-</v>
      </c>
      <c r="O555" s="90"/>
      <c r="P555" s="91"/>
      <c r="Q555" s="91"/>
      <c r="R555" s="91"/>
      <c r="S555" s="41" t="str">
        <f t="shared" si="21"/>
        <v>erfüllt</v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2.75" customHeight="1" x14ac:dyDescent="0.2">
      <c r="A556" s="9">
        <v>19254</v>
      </c>
      <c r="B556" s="9" t="s">
        <v>159</v>
      </c>
      <c r="C556" s="9" t="s">
        <v>193</v>
      </c>
      <c r="D556" s="23"/>
      <c r="E556" s="42">
        <v>1</v>
      </c>
      <c r="F556" s="43"/>
      <c r="G556" s="42" t="s">
        <v>155</v>
      </c>
      <c r="H556" s="43"/>
      <c r="I556" s="25" t="s">
        <v>15</v>
      </c>
      <c r="J556" s="34">
        <f>IF(E556="","",raw_data!C548)</f>
        <v>0</v>
      </c>
      <c r="K556" s="46"/>
      <c r="L556" s="87"/>
      <c r="M556" s="19">
        <f>IF(E556="","",raw_data!F548)</f>
        <v>0</v>
      </c>
      <c r="N556" s="20" t="str">
        <f t="shared" si="22"/>
        <v>-</v>
      </c>
      <c r="O556" s="90"/>
      <c r="P556" s="91"/>
      <c r="Q556" s="91"/>
      <c r="R556" s="91"/>
      <c r="S556" s="41" t="str">
        <f t="shared" si="21"/>
        <v>erfüllt</v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2.75" customHeight="1" x14ac:dyDescent="0.2">
      <c r="A557" s="9">
        <v>19255</v>
      </c>
      <c r="B557" s="9" t="s">
        <v>159</v>
      </c>
      <c r="C557" s="9" t="s">
        <v>56</v>
      </c>
      <c r="D557" s="23"/>
      <c r="E557" s="42">
        <v>1</v>
      </c>
      <c r="F557" s="43"/>
      <c r="G557" s="42" t="s">
        <v>155</v>
      </c>
      <c r="H557" s="43"/>
      <c r="I557" s="25" t="s">
        <v>15</v>
      </c>
      <c r="J557" s="34">
        <f>IF(E557="","",raw_data!C549)</f>
        <v>0</v>
      </c>
      <c r="K557" s="46"/>
      <c r="L557" s="87"/>
      <c r="M557" s="19">
        <f>IF(E557="","",raw_data!F549)</f>
        <v>0</v>
      </c>
      <c r="N557" s="20" t="str">
        <f t="shared" si="22"/>
        <v>-</v>
      </c>
      <c r="O557" s="90"/>
      <c r="P557" s="91"/>
      <c r="Q557" s="91"/>
      <c r="R557" s="91"/>
      <c r="S557" s="41" t="str">
        <f t="shared" si="21"/>
        <v>erfüllt</v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2.75" customHeight="1" x14ac:dyDescent="0.2">
      <c r="A558" s="9">
        <v>19256</v>
      </c>
      <c r="B558" s="9" t="s">
        <v>110</v>
      </c>
      <c r="C558" s="9" t="s">
        <v>77</v>
      </c>
      <c r="D558" s="23"/>
      <c r="E558" s="42"/>
      <c r="F558" s="43"/>
      <c r="G558" s="42"/>
      <c r="H558" s="43"/>
      <c r="I558" s="25" t="s">
        <v>15</v>
      </c>
      <c r="J558" s="34" t="str">
        <f>IF(E558="","",raw_data!C550)</f>
        <v/>
      </c>
      <c r="K558" s="46"/>
      <c r="L558" s="87"/>
      <c r="M558" s="19" t="str">
        <f>IF(E558="","",raw_data!F550)</f>
        <v/>
      </c>
      <c r="N558" s="20" t="str">
        <f t="shared" si="22"/>
        <v/>
      </c>
      <c r="O558" s="90"/>
      <c r="P558" s="91"/>
      <c r="Q558" s="91"/>
      <c r="R558" s="91"/>
      <c r="S558" s="41" t="str">
        <f t="shared" si="21"/>
        <v/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2.75" customHeight="1" x14ac:dyDescent="0.2">
      <c r="A559" s="9">
        <v>19257</v>
      </c>
      <c r="B559" s="9" t="s">
        <v>110</v>
      </c>
      <c r="C559" s="9" t="s">
        <v>19</v>
      </c>
      <c r="D559" s="23"/>
      <c r="E559" s="42"/>
      <c r="F559" s="43"/>
      <c r="G559" s="42"/>
      <c r="H559" s="43"/>
      <c r="I559" s="25" t="s">
        <v>15</v>
      </c>
      <c r="J559" s="34" t="str">
        <f>IF(E559="","",raw_data!C551)</f>
        <v/>
      </c>
      <c r="K559" s="46"/>
      <c r="L559" s="87"/>
      <c r="M559" s="19" t="str">
        <f>IF(E559="","",raw_data!F551)</f>
        <v/>
      </c>
      <c r="N559" s="20" t="str">
        <f t="shared" si="22"/>
        <v/>
      </c>
      <c r="O559" s="90"/>
      <c r="P559" s="91"/>
      <c r="Q559" s="91"/>
      <c r="R559" s="91"/>
      <c r="S559" s="41" t="str">
        <f t="shared" si="21"/>
        <v/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2.75" customHeight="1" x14ac:dyDescent="0.2">
      <c r="A560" s="9">
        <v>19258</v>
      </c>
      <c r="B560" s="9" t="s">
        <v>110</v>
      </c>
      <c r="C560" s="9" t="s">
        <v>240</v>
      </c>
      <c r="D560" s="23"/>
      <c r="E560" s="42">
        <v>1</v>
      </c>
      <c r="F560" s="43"/>
      <c r="G560" s="42" t="s">
        <v>155</v>
      </c>
      <c r="H560" s="43"/>
      <c r="I560" s="25" t="s">
        <v>15</v>
      </c>
      <c r="J560" s="34">
        <f>IF(E560="","",raw_data!C552)</f>
        <v>0</v>
      </c>
      <c r="K560" s="46"/>
      <c r="L560" s="87"/>
      <c r="M560" s="19">
        <f>IF(E560="","",raw_data!F552)</f>
        <v>0</v>
      </c>
      <c r="N560" s="20" t="str">
        <f t="shared" si="22"/>
        <v>-</v>
      </c>
      <c r="O560" s="90"/>
      <c r="P560" s="91"/>
      <c r="Q560" s="91"/>
      <c r="R560" s="91"/>
      <c r="S560" s="41" t="str">
        <f t="shared" si="21"/>
        <v>erfüllt</v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2.75" customHeight="1" x14ac:dyDescent="0.2">
      <c r="A561" s="9">
        <v>19259</v>
      </c>
      <c r="B561" s="9" t="s">
        <v>110</v>
      </c>
      <c r="C561" s="9" t="s">
        <v>160</v>
      </c>
      <c r="D561" s="23"/>
      <c r="E561" s="42"/>
      <c r="F561" s="43"/>
      <c r="G561" s="42"/>
      <c r="H561" s="43"/>
      <c r="I561" s="25" t="s">
        <v>15</v>
      </c>
      <c r="J561" s="34" t="str">
        <f>IF(E561="","",raw_data!C553)</f>
        <v/>
      </c>
      <c r="K561" s="46"/>
      <c r="L561" s="87"/>
      <c r="M561" s="19" t="str">
        <f>IF(E561="","",raw_data!F553)</f>
        <v/>
      </c>
      <c r="N561" s="20" t="str">
        <f t="shared" si="22"/>
        <v/>
      </c>
      <c r="O561" s="90"/>
      <c r="P561" s="91"/>
      <c r="Q561" s="91"/>
      <c r="R561" s="91"/>
      <c r="S561" s="41" t="str">
        <f t="shared" si="21"/>
        <v/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2.75" customHeight="1" x14ac:dyDescent="0.2">
      <c r="A562" s="9">
        <v>19260</v>
      </c>
      <c r="B562" s="9" t="s">
        <v>110</v>
      </c>
      <c r="C562" s="9" t="s">
        <v>161</v>
      </c>
      <c r="D562" s="23"/>
      <c r="E562" s="42"/>
      <c r="F562" s="43"/>
      <c r="G562" s="42"/>
      <c r="H562" s="43"/>
      <c r="I562" s="25" t="s">
        <v>15</v>
      </c>
      <c r="J562" s="34" t="str">
        <f>IF(E562="","",raw_data!C554)</f>
        <v/>
      </c>
      <c r="K562" s="46"/>
      <c r="L562" s="87"/>
      <c r="M562" s="19" t="str">
        <f>IF(E562="","",raw_data!F554)</f>
        <v/>
      </c>
      <c r="N562" s="20" t="str">
        <f t="shared" si="22"/>
        <v/>
      </c>
      <c r="O562" s="90"/>
      <c r="P562" s="91"/>
      <c r="Q562" s="91"/>
      <c r="R562" s="91"/>
      <c r="S562" s="41" t="str">
        <f t="shared" si="21"/>
        <v/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2.75" customHeight="1" x14ac:dyDescent="0.2">
      <c r="A563" s="9">
        <v>19261</v>
      </c>
      <c r="B563" s="9" t="s">
        <v>110</v>
      </c>
      <c r="C563" s="9" t="s">
        <v>276</v>
      </c>
      <c r="D563" s="23"/>
      <c r="E563" s="42">
        <v>1</v>
      </c>
      <c r="F563" s="43"/>
      <c r="G563" s="42" t="s">
        <v>155</v>
      </c>
      <c r="H563" s="43"/>
      <c r="I563" s="25" t="s">
        <v>15</v>
      </c>
      <c r="J563" s="34">
        <f>IF(E563="","",raw_data!C555)</f>
        <v>0</v>
      </c>
      <c r="K563" s="46"/>
      <c r="L563" s="87"/>
      <c r="M563" s="19">
        <f>IF(E563="","",raw_data!F555)</f>
        <v>0</v>
      </c>
      <c r="N563" s="20" t="str">
        <f t="shared" si="22"/>
        <v>-</v>
      </c>
      <c r="O563" s="90"/>
      <c r="P563" s="91"/>
      <c r="Q563" s="91"/>
      <c r="R563" s="91"/>
      <c r="S563" s="41" t="str">
        <f t="shared" si="21"/>
        <v>erfüllt</v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2.75" customHeight="1" x14ac:dyDescent="0.2">
      <c r="A564" s="9">
        <v>19262</v>
      </c>
      <c r="B564" s="9" t="s">
        <v>110</v>
      </c>
      <c r="C564" s="9" t="s">
        <v>277</v>
      </c>
      <c r="D564" s="23"/>
      <c r="E564" s="42"/>
      <c r="F564" s="43"/>
      <c r="G564" s="42"/>
      <c r="H564" s="43"/>
      <c r="I564" s="25" t="s">
        <v>15</v>
      </c>
      <c r="J564" s="34" t="str">
        <f>IF(E564="","",raw_data!C556)</f>
        <v/>
      </c>
      <c r="K564" s="46"/>
      <c r="L564" s="87"/>
      <c r="M564" s="19" t="str">
        <f>IF(E564="","",raw_data!F556)</f>
        <v/>
      </c>
      <c r="N564" s="20" t="str">
        <f t="shared" si="22"/>
        <v/>
      </c>
      <c r="O564" s="90"/>
      <c r="P564" s="91"/>
      <c r="Q564" s="91"/>
      <c r="R564" s="91"/>
      <c r="S564" s="41" t="str">
        <f t="shared" si="21"/>
        <v/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2.75" customHeight="1" x14ac:dyDescent="0.2">
      <c r="A565" s="9">
        <v>19263</v>
      </c>
      <c r="B565" s="9" t="s">
        <v>110</v>
      </c>
      <c r="C565" s="9" t="s">
        <v>111</v>
      </c>
      <c r="D565" s="23"/>
      <c r="E565" s="42"/>
      <c r="F565" s="43"/>
      <c r="G565" s="42"/>
      <c r="H565" s="43"/>
      <c r="I565" s="25" t="s">
        <v>15</v>
      </c>
      <c r="J565" s="34" t="str">
        <f>IF(E565="","",raw_data!C557)</f>
        <v/>
      </c>
      <c r="K565" s="46"/>
      <c r="L565" s="87"/>
      <c r="M565" s="19" t="str">
        <f>IF(E565="","",raw_data!F557)</f>
        <v/>
      </c>
      <c r="N565" s="20" t="str">
        <f t="shared" si="22"/>
        <v/>
      </c>
      <c r="O565" s="90"/>
      <c r="P565" s="91"/>
      <c r="Q565" s="91"/>
      <c r="R565" s="91"/>
      <c r="S565" s="41" t="str">
        <f t="shared" si="21"/>
        <v/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2.75" customHeight="1" x14ac:dyDescent="0.2">
      <c r="A566" s="9">
        <v>19264</v>
      </c>
      <c r="B566" s="9" t="s">
        <v>110</v>
      </c>
      <c r="C566" s="9" t="s">
        <v>278</v>
      </c>
      <c r="D566" s="23"/>
      <c r="E566" s="42"/>
      <c r="F566" s="43"/>
      <c r="G566" s="42"/>
      <c r="H566" s="43"/>
      <c r="I566" s="25" t="s">
        <v>15</v>
      </c>
      <c r="J566" s="34" t="str">
        <f>IF(E566="","",raw_data!C558)</f>
        <v/>
      </c>
      <c r="K566" s="46"/>
      <c r="L566" s="87"/>
      <c r="M566" s="19" t="str">
        <f>IF(E566="","",raw_data!F558)</f>
        <v/>
      </c>
      <c r="N566" s="20" t="str">
        <f t="shared" si="22"/>
        <v/>
      </c>
      <c r="O566" s="90"/>
      <c r="P566" s="91"/>
      <c r="Q566" s="91"/>
      <c r="R566" s="91"/>
      <c r="S566" s="41" t="str">
        <f t="shared" si="21"/>
        <v/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2.75" customHeight="1" x14ac:dyDescent="0.2">
      <c r="A567" s="9">
        <v>19265</v>
      </c>
      <c r="B567" s="9" t="s">
        <v>110</v>
      </c>
      <c r="C567" s="9" t="s">
        <v>279</v>
      </c>
      <c r="D567" s="23"/>
      <c r="E567" s="42"/>
      <c r="F567" s="43"/>
      <c r="G567" s="42"/>
      <c r="H567" s="43"/>
      <c r="I567" s="25" t="s">
        <v>15</v>
      </c>
      <c r="J567" s="34" t="str">
        <f>IF(E567="","",raw_data!C559)</f>
        <v/>
      </c>
      <c r="K567" s="46"/>
      <c r="L567" s="87"/>
      <c r="M567" s="19" t="str">
        <f>IF(E567="","",raw_data!F559)</f>
        <v/>
      </c>
      <c r="N567" s="20" t="str">
        <f t="shared" si="22"/>
        <v/>
      </c>
      <c r="O567" s="90"/>
      <c r="P567" s="91"/>
      <c r="Q567" s="91"/>
      <c r="R567" s="91"/>
      <c r="S567" s="41" t="str">
        <f t="shared" si="21"/>
        <v/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2.75" customHeight="1" x14ac:dyDescent="0.2">
      <c r="A568" s="9">
        <v>19266</v>
      </c>
      <c r="B568" s="9" t="s">
        <v>110</v>
      </c>
      <c r="C568" s="9" t="s">
        <v>280</v>
      </c>
      <c r="D568" s="23"/>
      <c r="E568" s="42"/>
      <c r="F568" s="43"/>
      <c r="G568" s="42"/>
      <c r="H568" s="43"/>
      <c r="I568" s="25" t="s">
        <v>15</v>
      </c>
      <c r="J568" s="34" t="str">
        <f>IF(E568="","",raw_data!C560)</f>
        <v/>
      </c>
      <c r="K568" s="46"/>
      <c r="L568" s="87"/>
      <c r="M568" s="19" t="str">
        <f>IF(E568="","",raw_data!F560)</f>
        <v/>
      </c>
      <c r="N568" s="20" t="str">
        <f t="shared" si="22"/>
        <v/>
      </c>
      <c r="O568" s="90"/>
      <c r="P568" s="91"/>
      <c r="Q568" s="91"/>
      <c r="R568" s="91"/>
      <c r="S568" s="41" t="str">
        <f t="shared" si="21"/>
        <v/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2.75" customHeight="1" x14ac:dyDescent="0.2">
      <c r="A569" s="9">
        <v>19267</v>
      </c>
      <c r="B569" s="9" t="s">
        <v>110</v>
      </c>
      <c r="C569" s="9" t="s">
        <v>281</v>
      </c>
      <c r="D569" s="23"/>
      <c r="E569" s="42"/>
      <c r="F569" s="43"/>
      <c r="G569" s="42"/>
      <c r="H569" s="43"/>
      <c r="I569" s="25" t="s">
        <v>15</v>
      </c>
      <c r="J569" s="34" t="str">
        <f>IF(E569="","",raw_data!C561)</f>
        <v/>
      </c>
      <c r="K569" s="46"/>
      <c r="L569" s="87"/>
      <c r="M569" s="19" t="str">
        <f>IF(E569="","",raw_data!F561)</f>
        <v/>
      </c>
      <c r="N569" s="20" t="str">
        <f t="shared" si="22"/>
        <v/>
      </c>
      <c r="O569" s="90"/>
      <c r="P569" s="91"/>
      <c r="Q569" s="91"/>
      <c r="R569" s="91"/>
      <c r="S569" s="41" t="str">
        <f t="shared" si="21"/>
        <v/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2.75" customHeight="1" x14ac:dyDescent="0.2">
      <c r="A570" s="9">
        <v>19268</v>
      </c>
      <c r="B570" s="9" t="s">
        <v>110</v>
      </c>
      <c r="C570" s="9" t="s">
        <v>282</v>
      </c>
      <c r="D570" s="23"/>
      <c r="E570" s="42"/>
      <c r="F570" s="43"/>
      <c r="G570" s="42"/>
      <c r="H570" s="43"/>
      <c r="I570" s="25" t="s">
        <v>15</v>
      </c>
      <c r="J570" s="34" t="str">
        <f>IF(E570="","",raw_data!C562)</f>
        <v/>
      </c>
      <c r="K570" s="46"/>
      <c r="L570" s="87"/>
      <c r="M570" s="19" t="str">
        <f>IF(E570="","",raw_data!F562)</f>
        <v/>
      </c>
      <c r="N570" s="20" t="str">
        <f t="shared" si="22"/>
        <v/>
      </c>
      <c r="O570" s="90"/>
      <c r="P570" s="91"/>
      <c r="Q570" s="91"/>
      <c r="R570" s="91"/>
      <c r="S570" s="41" t="str">
        <f t="shared" si="21"/>
        <v/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2.75" customHeight="1" x14ac:dyDescent="0.2">
      <c r="A571" s="9">
        <v>19269</v>
      </c>
      <c r="B571" s="9" t="s">
        <v>110</v>
      </c>
      <c r="C571" s="9" t="s">
        <v>283</v>
      </c>
      <c r="D571" s="23"/>
      <c r="E571" s="42"/>
      <c r="F571" s="43"/>
      <c r="G571" s="42"/>
      <c r="H571" s="43"/>
      <c r="I571" s="25" t="s">
        <v>15</v>
      </c>
      <c r="J571" s="34" t="str">
        <f>IF(E571="","",raw_data!C563)</f>
        <v/>
      </c>
      <c r="K571" s="46"/>
      <c r="L571" s="87"/>
      <c r="M571" s="19" t="str">
        <f>IF(E571="","",raw_data!F563)</f>
        <v/>
      </c>
      <c r="N571" s="20" t="str">
        <f t="shared" si="22"/>
        <v/>
      </c>
      <c r="O571" s="90"/>
      <c r="P571" s="91"/>
      <c r="Q571" s="91"/>
      <c r="R571" s="91"/>
      <c r="S571" s="41" t="str">
        <f t="shared" si="21"/>
        <v/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2.75" customHeight="1" x14ac:dyDescent="0.2">
      <c r="A572" s="9">
        <v>19270</v>
      </c>
      <c r="B572" s="9" t="s">
        <v>110</v>
      </c>
      <c r="C572" s="9" t="s">
        <v>284</v>
      </c>
      <c r="D572" s="23"/>
      <c r="E572" s="42"/>
      <c r="F572" s="43"/>
      <c r="G572" s="42"/>
      <c r="H572" s="43"/>
      <c r="I572" s="25" t="s">
        <v>15</v>
      </c>
      <c r="J572" s="34" t="str">
        <f>IF(E572="","",raw_data!C564)</f>
        <v/>
      </c>
      <c r="K572" s="46"/>
      <c r="L572" s="87"/>
      <c r="M572" s="19" t="str">
        <f>IF(E572="","",raw_data!F564)</f>
        <v/>
      </c>
      <c r="N572" s="20" t="str">
        <f t="shared" si="22"/>
        <v/>
      </c>
      <c r="O572" s="90"/>
      <c r="P572" s="91"/>
      <c r="Q572" s="91"/>
      <c r="R572" s="91"/>
      <c r="S572" s="41" t="str">
        <f t="shared" si="21"/>
        <v/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2.75" customHeight="1" x14ac:dyDescent="0.2">
      <c r="A573" s="9">
        <v>19271</v>
      </c>
      <c r="B573" s="9" t="s">
        <v>110</v>
      </c>
      <c r="C573" s="9" t="s">
        <v>285</v>
      </c>
      <c r="D573" s="23"/>
      <c r="E573" s="42"/>
      <c r="F573" s="43"/>
      <c r="G573" s="42"/>
      <c r="H573" s="43"/>
      <c r="I573" s="25" t="s">
        <v>15</v>
      </c>
      <c r="J573" s="34" t="str">
        <f>IF(E573="","",raw_data!C565)</f>
        <v/>
      </c>
      <c r="K573" s="46"/>
      <c r="L573" s="87"/>
      <c r="M573" s="19" t="str">
        <f>IF(E573="","",raw_data!F565)</f>
        <v/>
      </c>
      <c r="N573" s="20" t="str">
        <f t="shared" si="22"/>
        <v/>
      </c>
      <c r="O573" s="90"/>
      <c r="P573" s="91"/>
      <c r="Q573" s="91"/>
      <c r="R573" s="91"/>
      <c r="S573" s="41" t="str">
        <f t="shared" si="21"/>
        <v/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2.75" customHeight="1" x14ac:dyDescent="0.2">
      <c r="A574" s="9">
        <v>19272</v>
      </c>
      <c r="B574" s="9" t="s">
        <v>110</v>
      </c>
      <c r="C574" s="9" t="s">
        <v>286</v>
      </c>
      <c r="D574" s="23"/>
      <c r="E574" s="42"/>
      <c r="F574" s="43"/>
      <c r="G574" s="42"/>
      <c r="H574" s="43"/>
      <c r="I574" s="25" t="s">
        <v>15</v>
      </c>
      <c r="J574" s="34" t="str">
        <f>IF(E574="","",raw_data!C566)</f>
        <v/>
      </c>
      <c r="K574" s="46"/>
      <c r="L574" s="87"/>
      <c r="M574" s="19" t="str">
        <f>IF(E574="","",raw_data!F566)</f>
        <v/>
      </c>
      <c r="N574" s="20" t="str">
        <f t="shared" si="22"/>
        <v/>
      </c>
      <c r="O574" s="90"/>
      <c r="P574" s="91"/>
      <c r="Q574" s="91"/>
      <c r="R574" s="91"/>
      <c r="S574" s="41" t="str">
        <f t="shared" si="21"/>
        <v/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2.75" customHeight="1" x14ac:dyDescent="0.2">
      <c r="A575" s="9">
        <v>19273</v>
      </c>
      <c r="B575" s="9" t="s">
        <v>110</v>
      </c>
      <c r="C575" s="9" t="s">
        <v>112</v>
      </c>
      <c r="D575" s="23"/>
      <c r="E575" s="42"/>
      <c r="F575" s="43"/>
      <c r="G575" s="42"/>
      <c r="H575" s="43"/>
      <c r="I575" s="25" t="s">
        <v>15</v>
      </c>
      <c r="J575" s="34" t="str">
        <f>IF(E575="","",raw_data!C567)</f>
        <v/>
      </c>
      <c r="K575" s="46"/>
      <c r="L575" s="87"/>
      <c r="M575" s="19" t="str">
        <f>IF(E575="","",raw_data!F567)</f>
        <v/>
      </c>
      <c r="N575" s="20" t="str">
        <f t="shared" si="22"/>
        <v/>
      </c>
      <c r="O575" s="90"/>
      <c r="P575" s="91"/>
      <c r="Q575" s="91"/>
      <c r="R575" s="91"/>
      <c r="S575" s="41" t="str">
        <f t="shared" si="21"/>
        <v/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2.75" customHeight="1" x14ac:dyDescent="0.2">
      <c r="A576" s="9">
        <v>19274</v>
      </c>
      <c r="B576" s="9" t="s">
        <v>110</v>
      </c>
      <c r="C576" s="9" t="s">
        <v>287</v>
      </c>
      <c r="D576" s="23"/>
      <c r="E576" s="42"/>
      <c r="F576" s="43"/>
      <c r="G576" s="42"/>
      <c r="H576" s="43"/>
      <c r="I576" s="25" t="s">
        <v>15</v>
      </c>
      <c r="J576" s="34" t="str">
        <f>IF(E576="","",raw_data!C568)</f>
        <v/>
      </c>
      <c r="K576" s="46"/>
      <c r="L576" s="87"/>
      <c r="M576" s="19" t="str">
        <f>IF(E576="","",raw_data!F568)</f>
        <v/>
      </c>
      <c r="N576" s="20" t="str">
        <f t="shared" si="22"/>
        <v/>
      </c>
      <c r="O576" s="90"/>
      <c r="P576" s="91"/>
      <c r="Q576" s="91"/>
      <c r="R576" s="91"/>
      <c r="S576" s="41" t="str">
        <f t="shared" si="21"/>
        <v/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2.75" customHeight="1" x14ac:dyDescent="0.2">
      <c r="A577" s="9">
        <v>19275</v>
      </c>
      <c r="B577" s="9" t="s">
        <v>110</v>
      </c>
      <c r="C577" s="9" t="s">
        <v>288</v>
      </c>
      <c r="D577" s="23"/>
      <c r="E577" s="42"/>
      <c r="F577" s="43"/>
      <c r="G577" s="42"/>
      <c r="H577" s="43"/>
      <c r="I577" s="25" t="s">
        <v>15</v>
      </c>
      <c r="J577" s="34" t="str">
        <f>IF(E577="","",raw_data!C569)</f>
        <v/>
      </c>
      <c r="K577" s="46"/>
      <c r="L577" s="87"/>
      <c r="M577" s="19" t="str">
        <f>IF(E577="","",raw_data!F569)</f>
        <v/>
      </c>
      <c r="N577" s="20" t="str">
        <f t="shared" si="22"/>
        <v/>
      </c>
      <c r="O577" s="90"/>
      <c r="P577" s="91"/>
      <c r="Q577" s="91"/>
      <c r="R577" s="91"/>
      <c r="S577" s="41" t="str">
        <f t="shared" si="21"/>
        <v/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2.75" customHeight="1" x14ac:dyDescent="0.2">
      <c r="A578" s="9">
        <v>19276</v>
      </c>
      <c r="B578" s="9" t="s">
        <v>110</v>
      </c>
      <c r="C578" s="9" t="s">
        <v>214</v>
      </c>
      <c r="D578" s="23"/>
      <c r="E578" s="42"/>
      <c r="F578" s="43"/>
      <c r="G578" s="42"/>
      <c r="H578" s="43"/>
      <c r="I578" s="25" t="s">
        <v>15</v>
      </c>
      <c r="J578" s="34" t="str">
        <f>IF(E578="","",raw_data!C570)</f>
        <v/>
      </c>
      <c r="K578" s="46"/>
      <c r="L578" s="87"/>
      <c r="M578" s="19" t="str">
        <f>IF(E578="","",raw_data!F570)</f>
        <v/>
      </c>
      <c r="N578" s="20" t="str">
        <f t="shared" si="22"/>
        <v/>
      </c>
      <c r="O578" s="90"/>
      <c r="P578" s="91"/>
      <c r="Q578" s="91"/>
      <c r="R578" s="91"/>
      <c r="S578" s="41" t="str">
        <f t="shared" si="21"/>
        <v/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2.75" customHeight="1" x14ac:dyDescent="0.2">
      <c r="A579" s="9">
        <v>19277</v>
      </c>
      <c r="B579" s="9" t="s">
        <v>110</v>
      </c>
      <c r="C579" s="9" t="s">
        <v>101</v>
      </c>
      <c r="D579" s="23"/>
      <c r="E579" s="42"/>
      <c r="F579" s="43"/>
      <c r="G579" s="42"/>
      <c r="H579" s="43"/>
      <c r="I579" s="25" t="s">
        <v>15</v>
      </c>
      <c r="J579" s="34" t="str">
        <f>IF(E579="","",raw_data!C571)</f>
        <v/>
      </c>
      <c r="K579" s="46"/>
      <c r="L579" s="87"/>
      <c r="M579" s="19" t="str">
        <f>IF(E579="","",raw_data!F571)</f>
        <v/>
      </c>
      <c r="N579" s="20" t="str">
        <f t="shared" si="22"/>
        <v/>
      </c>
      <c r="O579" s="90"/>
      <c r="P579" s="91"/>
      <c r="Q579" s="91"/>
      <c r="R579" s="91"/>
      <c r="S579" s="41" t="str">
        <f t="shared" si="21"/>
        <v/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2.75" customHeight="1" x14ac:dyDescent="0.2">
      <c r="A580" s="9">
        <v>19278</v>
      </c>
      <c r="B580" s="9" t="s">
        <v>110</v>
      </c>
      <c r="C580" s="9" t="s">
        <v>272</v>
      </c>
      <c r="D580" s="23"/>
      <c r="E580" s="42"/>
      <c r="F580" s="43"/>
      <c r="G580" s="42"/>
      <c r="H580" s="43"/>
      <c r="I580" s="25" t="s">
        <v>15</v>
      </c>
      <c r="J580" s="34" t="str">
        <f>IF(E580="","",raw_data!C572)</f>
        <v/>
      </c>
      <c r="K580" s="46"/>
      <c r="L580" s="87"/>
      <c r="M580" s="19" t="str">
        <f>IF(E580="","",raw_data!F572)</f>
        <v/>
      </c>
      <c r="N580" s="20" t="str">
        <f t="shared" si="22"/>
        <v/>
      </c>
      <c r="O580" s="90"/>
      <c r="P580" s="91"/>
      <c r="Q580" s="91"/>
      <c r="R580" s="91"/>
      <c r="S580" s="41" t="str">
        <f t="shared" si="21"/>
        <v/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2.75" customHeight="1" x14ac:dyDescent="0.2">
      <c r="A581" s="9">
        <v>19279</v>
      </c>
      <c r="B581" s="9" t="s">
        <v>110</v>
      </c>
      <c r="C581" s="9" t="s">
        <v>273</v>
      </c>
      <c r="D581" s="23"/>
      <c r="E581" s="42"/>
      <c r="F581" s="43"/>
      <c r="G581" s="42"/>
      <c r="H581" s="43"/>
      <c r="I581" s="25" t="s">
        <v>15</v>
      </c>
      <c r="J581" s="34" t="str">
        <f>IF(E581="","",raw_data!C573)</f>
        <v/>
      </c>
      <c r="K581" s="46"/>
      <c r="L581" s="87"/>
      <c r="M581" s="19" t="str">
        <f>IF(E581="","",raw_data!F573)</f>
        <v/>
      </c>
      <c r="N581" s="20" t="str">
        <f t="shared" si="22"/>
        <v/>
      </c>
      <c r="O581" s="90"/>
      <c r="P581" s="91"/>
      <c r="Q581" s="91"/>
      <c r="R581" s="91"/>
      <c r="S581" s="41" t="str">
        <f t="shared" si="21"/>
        <v/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2.75" customHeight="1" x14ac:dyDescent="0.2">
      <c r="A582" s="9">
        <v>19280</v>
      </c>
      <c r="B582" s="9" t="s">
        <v>110</v>
      </c>
      <c r="C582" s="9" t="s">
        <v>443</v>
      </c>
      <c r="D582" s="23"/>
      <c r="E582" s="42"/>
      <c r="F582" s="43"/>
      <c r="G582" s="42"/>
      <c r="H582" s="43"/>
      <c r="I582" s="25" t="s">
        <v>15</v>
      </c>
      <c r="J582" s="34" t="str">
        <f>IF(E582="","",raw_data!C574)</f>
        <v/>
      </c>
      <c r="K582" s="46"/>
      <c r="L582" s="87"/>
      <c r="M582" s="19" t="str">
        <f>IF(E582="","",raw_data!F574)</f>
        <v/>
      </c>
      <c r="N582" s="20" t="str">
        <f t="shared" si="22"/>
        <v/>
      </c>
      <c r="O582" s="90"/>
      <c r="P582" s="91"/>
      <c r="Q582" s="91"/>
      <c r="R582" s="91"/>
      <c r="S582" s="41" t="str">
        <f t="shared" si="21"/>
        <v/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2.75" customHeight="1" x14ac:dyDescent="0.2">
      <c r="A583" s="9">
        <v>19281</v>
      </c>
      <c r="B583" s="9" t="s">
        <v>110</v>
      </c>
      <c r="C583" s="9" t="s">
        <v>346</v>
      </c>
      <c r="D583" s="23"/>
      <c r="E583" s="42"/>
      <c r="F583" s="43"/>
      <c r="G583" s="42"/>
      <c r="H583" s="43"/>
      <c r="I583" s="25" t="s">
        <v>15</v>
      </c>
      <c r="J583" s="34" t="str">
        <f>IF(E583="","",raw_data!C575)</f>
        <v/>
      </c>
      <c r="K583" s="46"/>
      <c r="L583" s="87"/>
      <c r="M583" s="19" t="str">
        <f>IF(E583="","",raw_data!F575)</f>
        <v/>
      </c>
      <c r="N583" s="20" t="str">
        <f t="shared" si="22"/>
        <v/>
      </c>
      <c r="O583" s="90"/>
      <c r="P583" s="91"/>
      <c r="Q583" s="91"/>
      <c r="R583" s="91"/>
      <c r="S583" s="41" t="str">
        <f t="shared" si="21"/>
        <v/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2.75" customHeight="1" x14ac:dyDescent="0.2">
      <c r="A584" s="9">
        <v>19282</v>
      </c>
      <c r="B584" s="9" t="s">
        <v>110</v>
      </c>
      <c r="C584" s="9" t="s">
        <v>347</v>
      </c>
      <c r="D584" s="23"/>
      <c r="E584" s="42"/>
      <c r="F584" s="43"/>
      <c r="G584" s="42"/>
      <c r="H584" s="43"/>
      <c r="I584" s="25" t="s">
        <v>15</v>
      </c>
      <c r="J584" s="34" t="str">
        <f>IF(E584="","",raw_data!C576)</f>
        <v/>
      </c>
      <c r="K584" s="46"/>
      <c r="L584" s="87"/>
      <c r="M584" s="19" t="str">
        <f>IF(E584="","",raw_data!F576)</f>
        <v/>
      </c>
      <c r="N584" s="20" t="str">
        <f t="shared" si="22"/>
        <v/>
      </c>
      <c r="O584" s="90"/>
      <c r="P584" s="91"/>
      <c r="Q584" s="91"/>
      <c r="R584" s="91"/>
      <c r="S584" s="41" t="str">
        <f t="shared" si="21"/>
        <v/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2.75" customHeight="1" x14ac:dyDescent="0.2">
      <c r="A585" s="9">
        <v>19283</v>
      </c>
      <c r="B585" s="9" t="s">
        <v>110</v>
      </c>
      <c r="C585" s="9" t="s">
        <v>348</v>
      </c>
      <c r="D585" s="23"/>
      <c r="E585" s="42"/>
      <c r="F585" s="43"/>
      <c r="G585" s="42"/>
      <c r="H585" s="43"/>
      <c r="I585" s="25" t="s">
        <v>15</v>
      </c>
      <c r="J585" s="34" t="str">
        <f>IF(E585="","",raw_data!C577)</f>
        <v/>
      </c>
      <c r="K585" s="46"/>
      <c r="L585" s="87"/>
      <c r="M585" s="19" t="str">
        <f>IF(E585="","",raw_data!F577)</f>
        <v/>
      </c>
      <c r="N585" s="20" t="str">
        <f t="shared" si="22"/>
        <v/>
      </c>
      <c r="O585" s="90"/>
      <c r="P585" s="91"/>
      <c r="Q585" s="91"/>
      <c r="R585" s="91"/>
      <c r="S585" s="41" t="str">
        <f t="shared" si="21"/>
        <v/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2.75" customHeight="1" x14ac:dyDescent="0.2">
      <c r="A586" s="9">
        <v>19284</v>
      </c>
      <c r="B586" s="9" t="s">
        <v>110</v>
      </c>
      <c r="C586" s="9" t="s">
        <v>349</v>
      </c>
      <c r="D586" s="23"/>
      <c r="E586" s="42"/>
      <c r="F586" s="43"/>
      <c r="G586" s="42"/>
      <c r="H586" s="43"/>
      <c r="I586" s="25" t="s">
        <v>15</v>
      </c>
      <c r="J586" s="34" t="str">
        <f>IF(E586="","",raw_data!C578)</f>
        <v/>
      </c>
      <c r="K586" s="46"/>
      <c r="L586" s="87"/>
      <c r="M586" s="19" t="str">
        <f>IF(E586="","",raw_data!F578)</f>
        <v/>
      </c>
      <c r="N586" s="20" t="str">
        <f t="shared" si="22"/>
        <v/>
      </c>
      <c r="O586" s="90"/>
      <c r="P586" s="91"/>
      <c r="Q586" s="91"/>
      <c r="R586" s="91"/>
      <c r="S586" s="41" t="str">
        <f t="shared" ref="S586:S649" si="23">IF(E586="","",IF(OR(NOT(ISNUMBER(N586)),N586&lt;=(1-E586)),"erfüllt",IF(G586="Fehler","mit Fehler",IF(G586="Warnung","mit Warnung",""))))</f>
        <v/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2.75" customHeight="1" x14ac:dyDescent="0.2">
      <c r="A587" s="9">
        <v>19285</v>
      </c>
      <c r="B587" s="9" t="s">
        <v>110</v>
      </c>
      <c r="C587" s="9" t="s">
        <v>350</v>
      </c>
      <c r="D587" s="23"/>
      <c r="E587" s="42"/>
      <c r="F587" s="43"/>
      <c r="G587" s="42"/>
      <c r="H587" s="43"/>
      <c r="I587" s="25" t="s">
        <v>15</v>
      </c>
      <c r="J587" s="34" t="str">
        <f>IF(E587="","",raw_data!C579)</f>
        <v/>
      </c>
      <c r="K587" s="46"/>
      <c r="L587" s="87"/>
      <c r="M587" s="19" t="str">
        <f>IF(E587="","",raw_data!F579)</f>
        <v/>
      </c>
      <c r="N587" s="20" t="str">
        <f t="shared" ref="N587:N650" si="24">IF(E587="","",IFERROR(M587/J587,"-"))</f>
        <v/>
      </c>
      <c r="O587" s="90"/>
      <c r="P587" s="91"/>
      <c r="Q587" s="91"/>
      <c r="R587" s="91"/>
      <c r="S587" s="41" t="str">
        <f t="shared" si="23"/>
        <v/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2.75" customHeight="1" x14ac:dyDescent="0.2">
      <c r="A588" s="9">
        <v>19286</v>
      </c>
      <c r="B588" s="9" t="s">
        <v>110</v>
      </c>
      <c r="C588" s="9" t="s">
        <v>351</v>
      </c>
      <c r="D588" s="23"/>
      <c r="E588" s="42"/>
      <c r="F588" s="43"/>
      <c r="G588" s="42"/>
      <c r="H588" s="43"/>
      <c r="I588" s="25" t="s">
        <v>15</v>
      </c>
      <c r="J588" s="34" t="str">
        <f>IF(E588="","",raw_data!C580)</f>
        <v/>
      </c>
      <c r="K588" s="46"/>
      <c r="L588" s="87"/>
      <c r="M588" s="19" t="str">
        <f>IF(E588="","",raw_data!F580)</f>
        <v/>
      </c>
      <c r="N588" s="20" t="str">
        <f t="shared" si="24"/>
        <v/>
      </c>
      <c r="O588" s="90"/>
      <c r="P588" s="91"/>
      <c r="Q588" s="91"/>
      <c r="R588" s="91"/>
      <c r="S588" s="41" t="str">
        <f t="shared" si="23"/>
        <v/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2.75" customHeight="1" x14ac:dyDescent="0.2">
      <c r="A589" s="9">
        <v>19287</v>
      </c>
      <c r="B589" s="9" t="s">
        <v>110</v>
      </c>
      <c r="C589" s="9" t="s">
        <v>352</v>
      </c>
      <c r="D589" s="23"/>
      <c r="E589" s="42"/>
      <c r="F589" s="43"/>
      <c r="G589" s="42"/>
      <c r="H589" s="43"/>
      <c r="I589" s="25" t="s">
        <v>15</v>
      </c>
      <c r="J589" s="34" t="str">
        <f>IF(E589="","",raw_data!C581)</f>
        <v/>
      </c>
      <c r="K589" s="46"/>
      <c r="L589" s="87"/>
      <c r="M589" s="19" t="str">
        <f>IF(E589="","",raw_data!F581)</f>
        <v/>
      </c>
      <c r="N589" s="20" t="str">
        <f t="shared" si="24"/>
        <v/>
      </c>
      <c r="O589" s="90"/>
      <c r="P589" s="91"/>
      <c r="Q589" s="91"/>
      <c r="R589" s="91"/>
      <c r="S589" s="41" t="str">
        <f t="shared" si="23"/>
        <v/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2.75" customHeight="1" x14ac:dyDescent="0.2">
      <c r="A590" s="9">
        <v>19288</v>
      </c>
      <c r="B590" s="9" t="s">
        <v>110</v>
      </c>
      <c r="C590" s="9" t="s">
        <v>353</v>
      </c>
      <c r="D590" s="23"/>
      <c r="E590" s="42"/>
      <c r="F590" s="43"/>
      <c r="G590" s="42"/>
      <c r="H590" s="43"/>
      <c r="I590" s="25" t="s">
        <v>15</v>
      </c>
      <c r="J590" s="34" t="str">
        <f>IF(E590="","",raw_data!C582)</f>
        <v/>
      </c>
      <c r="K590" s="46"/>
      <c r="L590" s="87"/>
      <c r="M590" s="19" t="str">
        <f>IF(E590="","",raw_data!F582)</f>
        <v/>
      </c>
      <c r="N590" s="20" t="str">
        <f t="shared" si="24"/>
        <v/>
      </c>
      <c r="O590" s="90"/>
      <c r="P590" s="91"/>
      <c r="Q590" s="91"/>
      <c r="R590" s="91"/>
      <c r="S590" s="41" t="str">
        <f t="shared" si="23"/>
        <v/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2.75" customHeight="1" x14ac:dyDescent="0.2">
      <c r="A591" s="9">
        <v>19289</v>
      </c>
      <c r="B591" s="9" t="s">
        <v>110</v>
      </c>
      <c r="C591" s="9" t="s">
        <v>354</v>
      </c>
      <c r="D591" s="23"/>
      <c r="E591" s="42"/>
      <c r="F591" s="43"/>
      <c r="G591" s="42"/>
      <c r="H591" s="43"/>
      <c r="I591" s="25" t="s">
        <v>15</v>
      </c>
      <c r="J591" s="34" t="str">
        <f>IF(E591="","",raw_data!C583)</f>
        <v/>
      </c>
      <c r="K591" s="46"/>
      <c r="L591" s="87"/>
      <c r="M591" s="19" t="str">
        <f>IF(E591="","",raw_data!F583)</f>
        <v/>
      </c>
      <c r="N591" s="20" t="str">
        <f t="shared" si="24"/>
        <v/>
      </c>
      <c r="O591" s="90"/>
      <c r="P591" s="91"/>
      <c r="Q591" s="91"/>
      <c r="R591" s="91"/>
      <c r="S591" s="41" t="str">
        <f t="shared" si="23"/>
        <v/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2.75" customHeight="1" x14ac:dyDescent="0.2">
      <c r="A592" s="9">
        <v>19290</v>
      </c>
      <c r="B592" s="9" t="s">
        <v>110</v>
      </c>
      <c r="C592" s="9" t="s">
        <v>243</v>
      </c>
      <c r="D592" s="23"/>
      <c r="E592" s="42"/>
      <c r="F592" s="43"/>
      <c r="G592" s="42"/>
      <c r="H592" s="43"/>
      <c r="I592" s="25" t="s">
        <v>15</v>
      </c>
      <c r="J592" s="34" t="str">
        <f>IF(E592="","",raw_data!C584)</f>
        <v/>
      </c>
      <c r="K592" s="46"/>
      <c r="L592" s="87"/>
      <c r="M592" s="19" t="str">
        <f>IF(E592="","",raw_data!F584)</f>
        <v/>
      </c>
      <c r="N592" s="20" t="str">
        <f t="shared" si="24"/>
        <v/>
      </c>
      <c r="O592" s="90"/>
      <c r="P592" s="91"/>
      <c r="Q592" s="91"/>
      <c r="R592" s="91"/>
      <c r="S592" s="41" t="str">
        <f t="shared" si="23"/>
        <v/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2.75" customHeight="1" x14ac:dyDescent="0.2">
      <c r="A593" s="9">
        <v>19291</v>
      </c>
      <c r="B593" s="9" t="s">
        <v>110</v>
      </c>
      <c r="C593" s="9" t="s">
        <v>244</v>
      </c>
      <c r="D593" s="23"/>
      <c r="E593" s="42"/>
      <c r="F593" s="43"/>
      <c r="G593" s="42"/>
      <c r="H593" s="43"/>
      <c r="I593" s="25" t="s">
        <v>15</v>
      </c>
      <c r="J593" s="34" t="str">
        <f>IF(E593="","",raw_data!C585)</f>
        <v/>
      </c>
      <c r="K593" s="46"/>
      <c r="L593" s="87"/>
      <c r="M593" s="19" t="str">
        <f>IF(E593="","",raw_data!F585)</f>
        <v/>
      </c>
      <c r="N593" s="20" t="str">
        <f t="shared" si="24"/>
        <v/>
      </c>
      <c r="O593" s="90"/>
      <c r="P593" s="91"/>
      <c r="Q593" s="91"/>
      <c r="R593" s="91"/>
      <c r="S593" s="41" t="str">
        <f t="shared" si="23"/>
        <v/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2.75" customHeight="1" x14ac:dyDescent="0.2">
      <c r="A594" s="9">
        <v>19292</v>
      </c>
      <c r="B594" s="9" t="s">
        <v>110</v>
      </c>
      <c r="C594" s="9" t="s">
        <v>245</v>
      </c>
      <c r="D594" s="23"/>
      <c r="E594" s="42"/>
      <c r="F594" s="43"/>
      <c r="G594" s="42"/>
      <c r="H594" s="43"/>
      <c r="I594" s="25" t="s">
        <v>15</v>
      </c>
      <c r="J594" s="34" t="str">
        <f>IF(E594="","",raw_data!C586)</f>
        <v/>
      </c>
      <c r="K594" s="46"/>
      <c r="L594" s="87"/>
      <c r="M594" s="19" t="str">
        <f>IF(E594="","",raw_data!F586)</f>
        <v/>
      </c>
      <c r="N594" s="20" t="str">
        <f t="shared" si="24"/>
        <v/>
      </c>
      <c r="O594" s="90"/>
      <c r="P594" s="91"/>
      <c r="Q594" s="91"/>
      <c r="R594" s="91"/>
      <c r="S594" s="41" t="str">
        <f t="shared" si="23"/>
        <v/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2.75" customHeight="1" x14ac:dyDescent="0.2">
      <c r="A595" s="9">
        <v>19293</v>
      </c>
      <c r="B595" s="9" t="s">
        <v>110</v>
      </c>
      <c r="C595" s="9" t="s">
        <v>78</v>
      </c>
      <c r="D595" s="23"/>
      <c r="E595" s="42"/>
      <c r="F595" s="43"/>
      <c r="G595" s="42"/>
      <c r="H595" s="43"/>
      <c r="I595" s="25" t="s">
        <v>15</v>
      </c>
      <c r="J595" s="34" t="str">
        <f>IF(E595="","",raw_data!C587)</f>
        <v/>
      </c>
      <c r="K595" s="46"/>
      <c r="L595" s="87"/>
      <c r="M595" s="19" t="str">
        <f>IF(E595="","",raw_data!F587)</f>
        <v/>
      </c>
      <c r="N595" s="20" t="str">
        <f t="shared" si="24"/>
        <v/>
      </c>
      <c r="O595" s="90"/>
      <c r="P595" s="91"/>
      <c r="Q595" s="91"/>
      <c r="R595" s="91"/>
      <c r="S595" s="41" t="str">
        <f t="shared" si="23"/>
        <v/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2.75" customHeight="1" x14ac:dyDescent="0.2">
      <c r="A596" s="9">
        <v>19294</v>
      </c>
      <c r="B596" s="9" t="s">
        <v>110</v>
      </c>
      <c r="C596" s="9" t="s">
        <v>162</v>
      </c>
      <c r="D596" s="23"/>
      <c r="E596" s="42"/>
      <c r="F596" s="43"/>
      <c r="G596" s="42"/>
      <c r="H596" s="43"/>
      <c r="I596" s="25" t="s">
        <v>15</v>
      </c>
      <c r="J596" s="34" t="str">
        <f>IF(E596="","",raw_data!C588)</f>
        <v/>
      </c>
      <c r="K596" s="46"/>
      <c r="L596" s="87"/>
      <c r="M596" s="19" t="str">
        <f>IF(E596="","",raw_data!F588)</f>
        <v/>
      </c>
      <c r="N596" s="20" t="str">
        <f t="shared" si="24"/>
        <v/>
      </c>
      <c r="O596" s="90"/>
      <c r="P596" s="91"/>
      <c r="Q596" s="91"/>
      <c r="R596" s="91"/>
      <c r="S596" s="41" t="str">
        <f t="shared" si="23"/>
        <v/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2.75" customHeight="1" x14ac:dyDescent="0.2">
      <c r="A597" s="9">
        <v>19295</v>
      </c>
      <c r="B597" s="9" t="s">
        <v>110</v>
      </c>
      <c r="C597" s="9" t="s">
        <v>289</v>
      </c>
      <c r="D597" s="23"/>
      <c r="E597" s="42"/>
      <c r="F597" s="43"/>
      <c r="G597" s="42"/>
      <c r="H597" s="43"/>
      <c r="I597" s="25" t="s">
        <v>15</v>
      </c>
      <c r="J597" s="34" t="str">
        <f>IF(E597="","",raw_data!C589)</f>
        <v/>
      </c>
      <c r="K597" s="46"/>
      <c r="L597" s="87"/>
      <c r="M597" s="19" t="str">
        <f>IF(E597="","",raw_data!F589)</f>
        <v/>
      </c>
      <c r="N597" s="20" t="str">
        <f t="shared" si="24"/>
        <v/>
      </c>
      <c r="O597" s="90"/>
      <c r="P597" s="91"/>
      <c r="Q597" s="91"/>
      <c r="R597" s="91"/>
      <c r="S597" s="41" t="str">
        <f t="shared" si="23"/>
        <v/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2.75" customHeight="1" x14ac:dyDescent="0.2">
      <c r="A598" s="9">
        <v>19296</v>
      </c>
      <c r="B598" s="9" t="s">
        <v>110</v>
      </c>
      <c r="C598" s="9" t="s">
        <v>113</v>
      </c>
      <c r="D598" s="23"/>
      <c r="E598" s="42"/>
      <c r="F598" s="43"/>
      <c r="G598" s="42"/>
      <c r="H598" s="43"/>
      <c r="I598" s="25" t="s">
        <v>15</v>
      </c>
      <c r="J598" s="34" t="str">
        <f>IF(E598="","",raw_data!C590)</f>
        <v/>
      </c>
      <c r="K598" s="46"/>
      <c r="L598" s="87"/>
      <c r="M598" s="19" t="str">
        <f>IF(E598="","",raw_data!F590)</f>
        <v/>
      </c>
      <c r="N598" s="20" t="str">
        <f t="shared" si="24"/>
        <v/>
      </c>
      <c r="O598" s="90"/>
      <c r="P598" s="91"/>
      <c r="Q598" s="91"/>
      <c r="R598" s="91"/>
      <c r="S598" s="41" t="str">
        <f t="shared" si="23"/>
        <v/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2.75" customHeight="1" x14ac:dyDescent="0.2">
      <c r="A599" s="9">
        <v>19297</v>
      </c>
      <c r="B599" s="9" t="s">
        <v>110</v>
      </c>
      <c r="C599" s="9" t="s">
        <v>290</v>
      </c>
      <c r="D599" s="23"/>
      <c r="E599" s="42"/>
      <c r="F599" s="43"/>
      <c r="G599" s="42"/>
      <c r="H599" s="43"/>
      <c r="I599" s="25" t="s">
        <v>15</v>
      </c>
      <c r="J599" s="34" t="str">
        <f>IF(E599="","",raw_data!C591)</f>
        <v/>
      </c>
      <c r="K599" s="46"/>
      <c r="L599" s="87"/>
      <c r="M599" s="19" t="str">
        <f>IF(E599="","",raw_data!F591)</f>
        <v/>
      </c>
      <c r="N599" s="20" t="str">
        <f t="shared" si="24"/>
        <v/>
      </c>
      <c r="O599" s="90"/>
      <c r="P599" s="91"/>
      <c r="Q599" s="91"/>
      <c r="R599" s="91"/>
      <c r="S599" s="41" t="str">
        <f t="shared" si="23"/>
        <v/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2.75" customHeight="1" x14ac:dyDescent="0.2">
      <c r="A600" s="9">
        <v>19298</v>
      </c>
      <c r="B600" s="9" t="s">
        <v>110</v>
      </c>
      <c r="C600" s="9" t="s">
        <v>355</v>
      </c>
      <c r="D600" s="23"/>
      <c r="E600" s="42"/>
      <c r="F600" s="43"/>
      <c r="G600" s="42"/>
      <c r="H600" s="43"/>
      <c r="I600" s="25" t="s">
        <v>15</v>
      </c>
      <c r="J600" s="34" t="str">
        <f>IF(E600="","",raw_data!C592)</f>
        <v/>
      </c>
      <c r="K600" s="46"/>
      <c r="L600" s="87"/>
      <c r="M600" s="19" t="str">
        <f>IF(E600="","",raw_data!F592)</f>
        <v/>
      </c>
      <c r="N600" s="20" t="str">
        <f t="shared" si="24"/>
        <v/>
      </c>
      <c r="O600" s="90"/>
      <c r="P600" s="91"/>
      <c r="Q600" s="91"/>
      <c r="R600" s="91"/>
      <c r="S600" s="41" t="str">
        <f t="shared" si="23"/>
        <v/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2.75" customHeight="1" x14ac:dyDescent="0.2">
      <c r="A601" s="9">
        <v>19299</v>
      </c>
      <c r="B601" s="9" t="s">
        <v>110</v>
      </c>
      <c r="C601" s="9" t="s">
        <v>356</v>
      </c>
      <c r="D601" s="23"/>
      <c r="E601" s="42"/>
      <c r="F601" s="43"/>
      <c r="G601" s="42"/>
      <c r="H601" s="43"/>
      <c r="I601" s="25" t="s">
        <v>15</v>
      </c>
      <c r="J601" s="34" t="str">
        <f>IF(E601="","",raw_data!C593)</f>
        <v/>
      </c>
      <c r="K601" s="46"/>
      <c r="L601" s="87"/>
      <c r="M601" s="19" t="str">
        <f>IF(E601="","",raw_data!F593)</f>
        <v/>
      </c>
      <c r="N601" s="20" t="str">
        <f t="shared" si="24"/>
        <v/>
      </c>
      <c r="O601" s="90"/>
      <c r="P601" s="91"/>
      <c r="Q601" s="91"/>
      <c r="R601" s="91"/>
      <c r="S601" s="41" t="str">
        <f t="shared" si="23"/>
        <v/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2.75" customHeight="1" x14ac:dyDescent="0.2">
      <c r="A602" s="9">
        <v>19300</v>
      </c>
      <c r="B602" s="9" t="s">
        <v>110</v>
      </c>
      <c r="C602" s="9" t="s">
        <v>357</v>
      </c>
      <c r="D602" s="23"/>
      <c r="E602" s="42"/>
      <c r="F602" s="43"/>
      <c r="G602" s="42"/>
      <c r="H602" s="43"/>
      <c r="I602" s="25" t="s">
        <v>15</v>
      </c>
      <c r="J602" s="34" t="str">
        <f>IF(E602="","",raw_data!C594)</f>
        <v/>
      </c>
      <c r="K602" s="46"/>
      <c r="L602" s="87"/>
      <c r="M602" s="19" t="str">
        <f>IF(E602="","",raw_data!F594)</f>
        <v/>
      </c>
      <c r="N602" s="20" t="str">
        <f t="shared" si="24"/>
        <v/>
      </c>
      <c r="O602" s="90"/>
      <c r="P602" s="91"/>
      <c r="Q602" s="91"/>
      <c r="R602" s="91"/>
      <c r="S602" s="41" t="str">
        <f t="shared" si="23"/>
        <v/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2.75" customHeight="1" x14ac:dyDescent="0.2">
      <c r="A603" s="9">
        <v>19301</v>
      </c>
      <c r="B603" s="9" t="s">
        <v>110</v>
      </c>
      <c r="C603" s="9" t="s">
        <v>358</v>
      </c>
      <c r="D603" s="23"/>
      <c r="E603" s="42"/>
      <c r="F603" s="43"/>
      <c r="G603" s="42"/>
      <c r="H603" s="43"/>
      <c r="I603" s="25" t="s">
        <v>15</v>
      </c>
      <c r="J603" s="34" t="str">
        <f>IF(E603="","",raw_data!C595)</f>
        <v/>
      </c>
      <c r="K603" s="46"/>
      <c r="L603" s="87"/>
      <c r="M603" s="19" t="str">
        <f>IF(E603="","",raw_data!F595)</f>
        <v/>
      </c>
      <c r="N603" s="20" t="str">
        <f t="shared" si="24"/>
        <v/>
      </c>
      <c r="O603" s="90"/>
      <c r="P603" s="91"/>
      <c r="Q603" s="91"/>
      <c r="R603" s="91"/>
      <c r="S603" s="41" t="str">
        <f t="shared" si="23"/>
        <v/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2.75" customHeight="1" x14ac:dyDescent="0.2">
      <c r="A604" s="9">
        <v>19302</v>
      </c>
      <c r="B604" s="9" t="s">
        <v>110</v>
      </c>
      <c r="C604" s="9" t="s">
        <v>359</v>
      </c>
      <c r="D604" s="23"/>
      <c r="E604" s="42"/>
      <c r="F604" s="43"/>
      <c r="G604" s="42"/>
      <c r="H604" s="43"/>
      <c r="I604" s="25" t="s">
        <v>15</v>
      </c>
      <c r="J604" s="34" t="str">
        <f>IF(E604="","",raw_data!C596)</f>
        <v/>
      </c>
      <c r="K604" s="46"/>
      <c r="L604" s="87"/>
      <c r="M604" s="19" t="str">
        <f>IF(E604="","",raw_data!F596)</f>
        <v/>
      </c>
      <c r="N604" s="20" t="str">
        <f t="shared" si="24"/>
        <v/>
      </c>
      <c r="O604" s="90"/>
      <c r="P604" s="91"/>
      <c r="Q604" s="91"/>
      <c r="R604" s="91"/>
      <c r="S604" s="41" t="str">
        <f t="shared" si="23"/>
        <v/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2.75" customHeight="1" x14ac:dyDescent="0.2">
      <c r="A605" s="9">
        <v>19303</v>
      </c>
      <c r="B605" s="9" t="s">
        <v>110</v>
      </c>
      <c r="C605" s="9" t="s">
        <v>360</v>
      </c>
      <c r="D605" s="23"/>
      <c r="E605" s="42"/>
      <c r="F605" s="43"/>
      <c r="G605" s="42"/>
      <c r="H605" s="43"/>
      <c r="I605" s="25" t="s">
        <v>15</v>
      </c>
      <c r="J605" s="34" t="str">
        <f>IF(E605="","",raw_data!C597)</f>
        <v/>
      </c>
      <c r="K605" s="46"/>
      <c r="L605" s="87"/>
      <c r="M605" s="19" t="str">
        <f>IF(E605="","",raw_data!F597)</f>
        <v/>
      </c>
      <c r="N605" s="20" t="str">
        <f t="shared" si="24"/>
        <v/>
      </c>
      <c r="O605" s="90"/>
      <c r="P605" s="91"/>
      <c r="Q605" s="91"/>
      <c r="R605" s="91"/>
      <c r="S605" s="41" t="str">
        <f t="shared" si="23"/>
        <v/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2.75" customHeight="1" x14ac:dyDescent="0.2">
      <c r="A606" s="9">
        <v>19304</v>
      </c>
      <c r="B606" s="9" t="s">
        <v>110</v>
      </c>
      <c r="C606" s="9" t="s">
        <v>361</v>
      </c>
      <c r="D606" s="23"/>
      <c r="E606" s="42"/>
      <c r="F606" s="43"/>
      <c r="G606" s="42"/>
      <c r="H606" s="43"/>
      <c r="I606" s="25" t="s">
        <v>15</v>
      </c>
      <c r="J606" s="34" t="str">
        <f>IF(E606="","",raw_data!C598)</f>
        <v/>
      </c>
      <c r="K606" s="46"/>
      <c r="L606" s="87"/>
      <c r="M606" s="19" t="str">
        <f>IF(E606="","",raw_data!F598)</f>
        <v/>
      </c>
      <c r="N606" s="20" t="str">
        <f t="shared" si="24"/>
        <v/>
      </c>
      <c r="O606" s="90"/>
      <c r="P606" s="91"/>
      <c r="Q606" s="91"/>
      <c r="R606" s="91"/>
      <c r="S606" s="41" t="str">
        <f t="shared" si="23"/>
        <v/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2.75" customHeight="1" x14ac:dyDescent="0.2">
      <c r="A607" s="9">
        <v>19305</v>
      </c>
      <c r="B607" s="9" t="s">
        <v>110</v>
      </c>
      <c r="C607" s="9" t="s">
        <v>362</v>
      </c>
      <c r="D607" s="23"/>
      <c r="E607" s="42"/>
      <c r="F607" s="43"/>
      <c r="G607" s="42"/>
      <c r="H607" s="43"/>
      <c r="I607" s="25" t="s">
        <v>15</v>
      </c>
      <c r="J607" s="34" t="str">
        <f>IF(E607="","",raw_data!C599)</f>
        <v/>
      </c>
      <c r="K607" s="46"/>
      <c r="L607" s="87"/>
      <c r="M607" s="19" t="str">
        <f>IF(E607="","",raw_data!F599)</f>
        <v/>
      </c>
      <c r="N607" s="20" t="str">
        <f t="shared" si="24"/>
        <v/>
      </c>
      <c r="O607" s="90"/>
      <c r="P607" s="91"/>
      <c r="Q607" s="91"/>
      <c r="R607" s="91"/>
      <c r="S607" s="41" t="str">
        <f t="shared" si="23"/>
        <v/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2.75" customHeight="1" x14ac:dyDescent="0.2">
      <c r="A608" s="9">
        <v>19306</v>
      </c>
      <c r="B608" s="9" t="s">
        <v>110</v>
      </c>
      <c r="C608" s="9" t="s">
        <v>363</v>
      </c>
      <c r="D608" s="23"/>
      <c r="E608" s="42"/>
      <c r="F608" s="43"/>
      <c r="G608" s="42"/>
      <c r="H608" s="43"/>
      <c r="I608" s="25" t="s">
        <v>15</v>
      </c>
      <c r="J608" s="34" t="str">
        <f>IF(E608="","",raw_data!C600)</f>
        <v/>
      </c>
      <c r="K608" s="46"/>
      <c r="L608" s="87"/>
      <c r="M608" s="19" t="str">
        <f>IF(E608="","",raw_data!F600)</f>
        <v/>
      </c>
      <c r="N608" s="20" t="str">
        <f t="shared" si="24"/>
        <v/>
      </c>
      <c r="O608" s="90"/>
      <c r="P608" s="91"/>
      <c r="Q608" s="91"/>
      <c r="R608" s="91"/>
      <c r="S608" s="41" t="str">
        <f t="shared" si="23"/>
        <v/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2.75" customHeight="1" x14ac:dyDescent="0.2">
      <c r="A609" s="9">
        <v>19307</v>
      </c>
      <c r="B609" s="9" t="s">
        <v>110</v>
      </c>
      <c r="C609" s="9" t="s">
        <v>270</v>
      </c>
      <c r="D609" s="23"/>
      <c r="E609" s="42"/>
      <c r="F609" s="43"/>
      <c r="G609" s="42"/>
      <c r="H609" s="43"/>
      <c r="I609" s="25" t="s">
        <v>15</v>
      </c>
      <c r="J609" s="34" t="str">
        <f>IF(E609="","",raw_data!C601)</f>
        <v/>
      </c>
      <c r="K609" s="46"/>
      <c r="L609" s="87"/>
      <c r="M609" s="19" t="str">
        <f>IF(E609="","",raw_data!F601)</f>
        <v/>
      </c>
      <c r="N609" s="20" t="str">
        <f t="shared" si="24"/>
        <v/>
      </c>
      <c r="O609" s="90"/>
      <c r="P609" s="91"/>
      <c r="Q609" s="91"/>
      <c r="R609" s="91"/>
      <c r="S609" s="41" t="str">
        <f t="shared" si="23"/>
        <v/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2.75" customHeight="1" x14ac:dyDescent="0.2">
      <c r="A610" s="9">
        <v>19308</v>
      </c>
      <c r="B610" s="9" t="s">
        <v>110</v>
      </c>
      <c r="C610" s="9" t="s">
        <v>271</v>
      </c>
      <c r="D610" s="23"/>
      <c r="E610" s="42"/>
      <c r="F610" s="43"/>
      <c r="G610" s="42"/>
      <c r="H610" s="43"/>
      <c r="I610" s="25" t="s">
        <v>15</v>
      </c>
      <c r="J610" s="34" t="str">
        <f>IF(E610="","",raw_data!C602)</f>
        <v/>
      </c>
      <c r="K610" s="46"/>
      <c r="L610" s="87"/>
      <c r="M610" s="19" t="str">
        <f>IF(E610="","",raw_data!F602)</f>
        <v/>
      </c>
      <c r="N610" s="20" t="str">
        <f t="shared" si="24"/>
        <v/>
      </c>
      <c r="O610" s="90"/>
      <c r="P610" s="91"/>
      <c r="Q610" s="91"/>
      <c r="R610" s="91"/>
      <c r="S610" s="41" t="str">
        <f t="shared" si="23"/>
        <v/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2.75" customHeight="1" x14ac:dyDescent="0.2">
      <c r="A611" s="9">
        <v>19309</v>
      </c>
      <c r="B611" s="9" t="s">
        <v>110</v>
      </c>
      <c r="C611" s="9" t="s">
        <v>444</v>
      </c>
      <c r="D611" s="23"/>
      <c r="E611" s="42"/>
      <c r="F611" s="43"/>
      <c r="G611" s="42"/>
      <c r="H611" s="43"/>
      <c r="I611" s="25" t="s">
        <v>15</v>
      </c>
      <c r="J611" s="34" t="str">
        <f>IF(E611="","",raw_data!C603)</f>
        <v/>
      </c>
      <c r="K611" s="46"/>
      <c r="L611" s="87"/>
      <c r="M611" s="19" t="str">
        <f>IF(E611="","",raw_data!F603)</f>
        <v/>
      </c>
      <c r="N611" s="20" t="str">
        <f t="shared" si="24"/>
        <v/>
      </c>
      <c r="O611" s="90"/>
      <c r="P611" s="91"/>
      <c r="Q611" s="91"/>
      <c r="R611" s="91"/>
      <c r="S611" s="41" t="str">
        <f t="shared" si="23"/>
        <v/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2.75" customHeight="1" x14ac:dyDescent="0.2">
      <c r="A612" s="9">
        <v>19310</v>
      </c>
      <c r="B612" s="9" t="s">
        <v>110</v>
      </c>
      <c r="C612" s="9" t="s">
        <v>246</v>
      </c>
      <c r="D612" s="23"/>
      <c r="E612" s="42"/>
      <c r="F612" s="43"/>
      <c r="G612" s="42"/>
      <c r="H612" s="43"/>
      <c r="I612" s="25" t="s">
        <v>15</v>
      </c>
      <c r="J612" s="34" t="str">
        <f>IF(E612="","",raw_data!C604)</f>
        <v/>
      </c>
      <c r="K612" s="46"/>
      <c r="L612" s="87"/>
      <c r="M612" s="19" t="str">
        <f>IF(E612="","",raw_data!F604)</f>
        <v/>
      </c>
      <c r="N612" s="20" t="str">
        <f t="shared" si="24"/>
        <v/>
      </c>
      <c r="O612" s="90"/>
      <c r="P612" s="91"/>
      <c r="Q612" s="91"/>
      <c r="R612" s="91"/>
      <c r="S612" s="41" t="str">
        <f t="shared" si="23"/>
        <v/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2.75" customHeight="1" x14ac:dyDescent="0.2">
      <c r="A613" s="9">
        <v>19311</v>
      </c>
      <c r="B613" s="9" t="s">
        <v>110</v>
      </c>
      <c r="C613" s="9" t="s">
        <v>247</v>
      </c>
      <c r="D613" s="23"/>
      <c r="E613" s="42"/>
      <c r="F613" s="43"/>
      <c r="G613" s="42"/>
      <c r="H613" s="43"/>
      <c r="I613" s="25" t="s">
        <v>15</v>
      </c>
      <c r="J613" s="34" t="str">
        <f>IF(E613="","",raw_data!C605)</f>
        <v/>
      </c>
      <c r="K613" s="46"/>
      <c r="L613" s="87"/>
      <c r="M613" s="19" t="str">
        <f>IF(E613="","",raw_data!F605)</f>
        <v/>
      </c>
      <c r="N613" s="20" t="str">
        <f t="shared" si="24"/>
        <v/>
      </c>
      <c r="O613" s="90"/>
      <c r="P613" s="91"/>
      <c r="Q613" s="91"/>
      <c r="R613" s="91"/>
      <c r="S613" s="41" t="str">
        <f t="shared" si="23"/>
        <v/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2.75" customHeight="1" x14ac:dyDescent="0.2">
      <c r="A614" s="9">
        <v>19312</v>
      </c>
      <c r="B614" s="9" t="s">
        <v>110</v>
      </c>
      <c r="C614" s="9" t="s">
        <v>248</v>
      </c>
      <c r="D614" s="23"/>
      <c r="E614" s="42"/>
      <c r="F614" s="43"/>
      <c r="G614" s="42"/>
      <c r="H614" s="43"/>
      <c r="I614" s="25" t="s">
        <v>15</v>
      </c>
      <c r="J614" s="34" t="str">
        <f>IF(E614="","",raw_data!C606)</f>
        <v/>
      </c>
      <c r="K614" s="46"/>
      <c r="L614" s="87"/>
      <c r="M614" s="19" t="str">
        <f>IF(E614="","",raw_data!F606)</f>
        <v/>
      </c>
      <c r="N614" s="20" t="str">
        <f t="shared" si="24"/>
        <v/>
      </c>
      <c r="O614" s="90"/>
      <c r="P614" s="91"/>
      <c r="Q614" s="91"/>
      <c r="R614" s="91"/>
      <c r="S614" s="41" t="str">
        <f t="shared" si="23"/>
        <v/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2.75" customHeight="1" x14ac:dyDescent="0.2">
      <c r="A615" s="9">
        <v>19313</v>
      </c>
      <c r="B615" s="9" t="s">
        <v>110</v>
      </c>
      <c r="C615" s="9" t="s">
        <v>9</v>
      </c>
      <c r="D615" s="23"/>
      <c r="E615" s="42">
        <v>1</v>
      </c>
      <c r="F615" s="43"/>
      <c r="G615" s="42" t="s">
        <v>155</v>
      </c>
      <c r="H615" s="43"/>
      <c r="I615" s="25" t="s">
        <v>15</v>
      </c>
      <c r="J615" s="34">
        <f>IF(E615="","",raw_data!C607)</f>
        <v>0</v>
      </c>
      <c r="K615" s="46"/>
      <c r="L615" s="87"/>
      <c r="M615" s="19">
        <f>IF(E615="","",raw_data!F607)</f>
        <v>0</v>
      </c>
      <c r="N615" s="20" t="str">
        <f t="shared" si="24"/>
        <v>-</v>
      </c>
      <c r="O615" s="90"/>
      <c r="P615" s="91"/>
      <c r="Q615" s="91"/>
      <c r="R615" s="91"/>
      <c r="S615" s="41" t="str">
        <f t="shared" si="23"/>
        <v>erfüllt</v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2.75" customHeight="1" x14ac:dyDescent="0.2">
      <c r="A616" s="9">
        <v>19314</v>
      </c>
      <c r="B616" s="9" t="s">
        <v>110</v>
      </c>
      <c r="C616" s="9" t="s">
        <v>241</v>
      </c>
      <c r="D616" s="23"/>
      <c r="E616" s="42">
        <v>1</v>
      </c>
      <c r="F616" s="43"/>
      <c r="G616" s="42" t="s">
        <v>155</v>
      </c>
      <c r="H616" s="43"/>
      <c r="I616" s="25" t="s">
        <v>15</v>
      </c>
      <c r="J616" s="34">
        <f>IF(E616="","",raw_data!C608)</f>
        <v>0</v>
      </c>
      <c r="K616" s="46"/>
      <c r="L616" s="87"/>
      <c r="M616" s="19">
        <f>IF(E616="","",raw_data!F608)</f>
        <v>0</v>
      </c>
      <c r="N616" s="20" t="str">
        <f t="shared" si="24"/>
        <v>-</v>
      </c>
      <c r="O616" s="90"/>
      <c r="P616" s="91"/>
      <c r="Q616" s="91"/>
      <c r="R616" s="91"/>
      <c r="S616" s="41" t="str">
        <f t="shared" si="23"/>
        <v>erfüllt</v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2.75" customHeight="1" x14ac:dyDescent="0.2">
      <c r="A617" s="9">
        <v>19315</v>
      </c>
      <c r="B617" s="9" t="s">
        <v>110</v>
      </c>
      <c r="C617" s="9" t="s">
        <v>291</v>
      </c>
      <c r="D617" s="23"/>
      <c r="E617" s="42">
        <v>1</v>
      </c>
      <c r="F617" s="43"/>
      <c r="G617" s="42" t="s">
        <v>155</v>
      </c>
      <c r="H617" s="43"/>
      <c r="I617" s="25" t="s">
        <v>15</v>
      </c>
      <c r="J617" s="34">
        <f>IF(E617="","",raw_data!C609)</f>
        <v>0</v>
      </c>
      <c r="K617" s="46"/>
      <c r="L617" s="87"/>
      <c r="M617" s="19">
        <f>IF(E617="","",raw_data!F609)</f>
        <v>0</v>
      </c>
      <c r="N617" s="20" t="str">
        <f t="shared" si="24"/>
        <v>-</v>
      </c>
      <c r="O617" s="90"/>
      <c r="P617" s="91"/>
      <c r="Q617" s="91"/>
      <c r="R617" s="91"/>
      <c r="S617" s="41" t="str">
        <f t="shared" si="23"/>
        <v>erfüllt</v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2.75" customHeight="1" x14ac:dyDescent="0.2">
      <c r="A618" s="9">
        <v>19316</v>
      </c>
      <c r="B618" s="9" t="s">
        <v>110</v>
      </c>
      <c r="C618" s="9" t="s">
        <v>114</v>
      </c>
      <c r="D618" s="23"/>
      <c r="E618" s="42">
        <v>1</v>
      </c>
      <c r="F618" s="43"/>
      <c r="G618" s="42" t="s">
        <v>155</v>
      </c>
      <c r="H618" s="43"/>
      <c r="I618" s="25" t="s">
        <v>15</v>
      </c>
      <c r="J618" s="34">
        <f>IF(E618="","",raw_data!C610)</f>
        <v>0</v>
      </c>
      <c r="K618" s="46"/>
      <c r="L618" s="87"/>
      <c r="M618" s="19">
        <f>IF(E618="","",raw_data!F610)</f>
        <v>0</v>
      </c>
      <c r="N618" s="20" t="str">
        <f t="shared" si="24"/>
        <v>-</v>
      </c>
      <c r="O618" s="90"/>
      <c r="P618" s="91"/>
      <c r="Q618" s="91"/>
      <c r="R618" s="91"/>
      <c r="S618" s="41" t="str">
        <f t="shared" si="23"/>
        <v>erfüllt</v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2.75" customHeight="1" x14ac:dyDescent="0.2">
      <c r="A619" s="9">
        <v>19317</v>
      </c>
      <c r="B619" s="9" t="s">
        <v>110</v>
      </c>
      <c r="C619" s="9" t="s">
        <v>292</v>
      </c>
      <c r="D619" s="23"/>
      <c r="E619" s="42">
        <v>1</v>
      </c>
      <c r="F619" s="43"/>
      <c r="G619" s="42" t="s">
        <v>155</v>
      </c>
      <c r="H619" s="43"/>
      <c r="I619" s="25" t="s">
        <v>15</v>
      </c>
      <c r="J619" s="34">
        <f>IF(E619="","",raw_data!C611)</f>
        <v>0</v>
      </c>
      <c r="K619" s="46"/>
      <c r="L619" s="87"/>
      <c r="M619" s="19">
        <f>IF(E619="","",raw_data!F611)</f>
        <v>0</v>
      </c>
      <c r="N619" s="20" t="str">
        <f t="shared" si="24"/>
        <v>-</v>
      </c>
      <c r="O619" s="90"/>
      <c r="P619" s="91"/>
      <c r="Q619" s="91"/>
      <c r="R619" s="91"/>
      <c r="S619" s="41" t="str">
        <f t="shared" si="23"/>
        <v>erfüllt</v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2.75" customHeight="1" x14ac:dyDescent="0.2">
      <c r="A620" s="9">
        <v>19318</v>
      </c>
      <c r="B620" s="9" t="s">
        <v>110</v>
      </c>
      <c r="C620" s="9" t="s">
        <v>79</v>
      </c>
      <c r="D620" s="23"/>
      <c r="E620" s="42"/>
      <c r="F620" s="43"/>
      <c r="G620" s="42"/>
      <c r="H620" s="43"/>
      <c r="I620" s="25" t="s">
        <v>15</v>
      </c>
      <c r="J620" s="34" t="str">
        <f>IF(E620="","",raw_data!C612)</f>
        <v/>
      </c>
      <c r="K620" s="46"/>
      <c r="L620" s="87"/>
      <c r="M620" s="19" t="str">
        <f>IF(E620="","",raw_data!F612)</f>
        <v/>
      </c>
      <c r="N620" s="20" t="str">
        <f t="shared" si="24"/>
        <v/>
      </c>
      <c r="O620" s="90"/>
      <c r="P620" s="91"/>
      <c r="Q620" s="91"/>
      <c r="R620" s="91"/>
      <c r="S620" s="41" t="str">
        <f t="shared" si="23"/>
        <v/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2.75" customHeight="1" x14ac:dyDescent="0.2">
      <c r="A621" s="9">
        <v>19319</v>
      </c>
      <c r="B621" s="9" t="s">
        <v>110</v>
      </c>
      <c r="C621" s="9" t="s">
        <v>220</v>
      </c>
      <c r="D621" s="23"/>
      <c r="E621" s="42"/>
      <c r="F621" s="43"/>
      <c r="G621" s="42"/>
      <c r="H621" s="43"/>
      <c r="I621" s="25" t="s">
        <v>15</v>
      </c>
      <c r="J621" s="34" t="str">
        <f>IF(E621="","",raw_data!C613)</f>
        <v/>
      </c>
      <c r="K621" s="46"/>
      <c r="L621" s="87"/>
      <c r="M621" s="19" t="str">
        <f>IF(E621="","",raw_data!F613)</f>
        <v/>
      </c>
      <c r="N621" s="20" t="str">
        <f t="shared" si="24"/>
        <v/>
      </c>
      <c r="O621" s="90"/>
      <c r="P621" s="91"/>
      <c r="Q621" s="91"/>
      <c r="R621" s="91"/>
      <c r="S621" s="41" t="str">
        <f t="shared" si="23"/>
        <v/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2.75" customHeight="1" x14ac:dyDescent="0.2">
      <c r="A622" s="9">
        <v>19320</v>
      </c>
      <c r="B622" s="9" t="s">
        <v>110</v>
      </c>
      <c r="C622" s="9" t="s">
        <v>103</v>
      </c>
      <c r="D622" s="23"/>
      <c r="E622" s="42"/>
      <c r="F622" s="43"/>
      <c r="G622" s="42"/>
      <c r="H622" s="43"/>
      <c r="I622" s="25" t="s">
        <v>15</v>
      </c>
      <c r="J622" s="34" t="str">
        <f>IF(E622="","",raw_data!C614)</f>
        <v/>
      </c>
      <c r="K622" s="46"/>
      <c r="L622" s="87"/>
      <c r="M622" s="19" t="str">
        <f>IF(E622="","",raw_data!F614)</f>
        <v/>
      </c>
      <c r="N622" s="20" t="str">
        <f t="shared" si="24"/>
        <v/>
      </c>
      <c r="O622" s="90"/>
      <c r="P622" s="91"/>
      <c r="Q622" s="91"/>
      <c r="R622" s="91"/>
      <c r="S622" s="41" t="str">
        <f t="shared" si="23"/>
        <v/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2.75" customHeight="1" x14ac:dyDescent="0.2">
      <c r="A623" s="9">
        <v>19321</v>
      </c>
      <c r="B623" s="9" t="s">
        <v>110</v>
      </c>
      <c r="C623" s="9" t="s">
        <v>293</v>
      </c>
      <c r="D623" s="23"/>
      <c r="E623" s="42"/>
      <c r="F623" s="43"/>
      <c r="G623" s="42"/>
      <c r="H623" s="43"/>
      <c r="I623" s="25" t="s">
        <v>15</v>
      </c>
      <c r="J623" s="34" t="str">
        <f>IF(E623="","",raw_data!C615)</f>
        <v/>
      </c>
      <c r="K623" s="46"/>
      <c r="L623" s="87"/>
      <c r="M623" s="19" t="str">
        <f>IF(E623="","",raw_data!F615)</f>
        <v/>
      </c>
      <c r="N623" s="20" t="str">
        <f t="shared" si="24"/>
        <v/>
      </c>
      <c r="O623" s="90"/>
      <c r="P623" s="91"/>
      <c r="Q623" s="91"/>
      <c r="R623" s="91"/>
      <c r="S623" s="41" t="str">
        <f t="shared" si="23"/>
        <v/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2.75" customHeight="1" x14ac:dyDescent="0.2">
      <c r="A624" s="9">
        <v>19322</v>
      </c>
      <c r="B624" s="9" t="s">
        <v>110</v>
      </c>
      <c r="C624" s="9" t="s">
        <v>242</v>
      </c>
      <c r="D624" s="23"/>
      <c r="E624" s="42">
        <v>1</v>
      </c>
      <c r="F624" s="43"/>
      <c r="G624" s="42" t="s">
        <v>155</v>
      </c>
      <c r="H624" s="43"/>
      <c r="I624" s="25" t="s">
        <v>15</v>
      </c>
      <c r="J624" s="34">
        <f>IF(E624="","",raw_data!C616)</f>
        <v>0</v>
      </c>
      <c r="K624" s="46"/>
      <c r="L624" s="87"/>
      <c r="M624" s="19">
        <f>IF(E624="","",raw_data!F616)</f>
        <v>0</v>
      </c>
      <c r="N624" s="20" t="str">
        <f t="shared" si="24"/>
        <v>-</v>
      </c>
      <c r="O624" s="90"/>
      <c r="P624" s="91"/>
      <c r="Q624" s="91"/>
      <c r="R624" s="91"/>
      <c r="S624" s="41" t="str">
        <f t="shared" si="23"/>
        <v>erfüllt</v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2.75" customHeight="1" x14ac:dyDescent="0.2">
      <c r="A625" s="9">
        <v>19323</v>
      </c>
      <c r="B625" s="9" t="s">
        <v>110</v>
      </c>
      <c r="C625" s="9" t="s">
        <v>80</v>
      </c>
      <c r="D625" s="23"/>
      <c r="E625" s="42">
        <v>1</v>
      </c>
      <c r="F625" s="43"/>
      <c r="G625" s="42" t="s">
        <v>155</v>
      </c>
      <c r="H625" s="43"/>
      <c r="I625" s="25" t="s">
        <v>15</v>
      </c>
      <c r="J625" s="34">
        <f>IF(E625="","",raw_data!C617)</f>
        <v>0</v>
      </c>
      <c r="K625" s="46"/>
      <c r="L625" s="87"/>
      <c r="M625" s="19">
        <f>IF(E625="","",raw_data!F617)</f>
        <v>0</v>
      </c>
      <c r="N625" s="20" t="str">
        <f t="shared" si="24"/>
        <v>-</v>
      </c>
      <c r="O625" s="90"/>
      <c r="P625" s="91"/>
      <c r="Q625" s="91"/>
      <c r="R625" s="91"/>
      <c r="S625" s="41" t="str">
        <f t="shared" si="23"/>
        <v>erfüllt</v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2.75" customHeight="1" x14ac:dyDescent="0.2">
      <c r="A626" s="9">
        <v>19324</v>
      </c>
      <c r="B626" s="9" t="s">
        <v>110</v>
      </c>
      <c r="C626" s="9" t="s">
        <v>104</v>
      </c>
      <c r="D626" s="23"/>
      <c r="E626" s="42">
        <v>1</v>
      </c>
      <c r="F626" s="43"/>
      <c r="G626" s="42" t="s">
        <v>155</v>
      </c>
      <c r="H626" s="43"/>
      <c r="I626" s="25" t="s">
        <v>15</v>
      </c>
      <c r="J626" s="34">
        <f>IF(E626="","",raw_data!C618)</f>
        <v>0</v>
      </c>
      <c r="K626" s="46"/>
      <c r="L626" s="87"/>
      <c r="M626" s="19">
        <f>IF(E626="","",raw_data!F618)</f>
        <v>0</v>
      </c>
      <c r="N626" s="20" t="str">
        <f t="shared" si="24"/>
        <v>-</v>
      </c>
      <c r="O626" s="90"/>
      <c r="P626" s="91"/>
      <c r="Q626" s="91"/>
      <c r="R626" s="91"/>
      <c r="S626" s="41" t="str">
        <f t="shared" si="23"/>
        <v>erfüllt</v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2.75" customHeight="1" x14ac:dyDescent="0.2">
      <c r="A627" s="9">
        <v>19325</v>
      </c>
      <c r="B627" s="9" t="s">
        <v>110</v>
      </c>
      <c r="C627" s="9" t="s">
        <v>81</v>
      </c>
      <c r="D627" s="23"/>
      <c r="E627" s="42">
        <v>1</v>
      </c>
      <c r="F627" s="43"/>
      <c r="G627" s="42" t="s">
        <v>155</v>
      </c>
      <c r="H627" s="43"/>
      <c r="I627" s="25" t="s">
        <v>15</v>
      </c>
      <c r="J627" s="34">
        <f>IF(E627="","",raw_data!C619)</f>
        <v>0</v>
      </c>
      <c r="K627" s="46"/>
      <c r="L627" s="87"/>
      <c r="M627" s="19">
        <f>IF(E627="","",raw_data!F619)</f>
        <v>0</v>
      </c>
      <c r="N627" s="20" t="str">
        <f t="shared" si="24"/>
        <v>-</v>
      </c>
      <c r="O627" s="90"/>
      <c r="P627" s="91"/>
      <c r="Q627" s="91"/>
      <c r="R627" s="91"/>
      <c r="S627" s="41" t="str">
        <f t="shared" si="23"/>
        <v>erfüllt</v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2.75" customHeight="1" x14ac:dyDescent="0.2">
      <c r="A628" s="9">
        <v>19326</v>
      </c>
      <c r="B628" s="9" t="s">
        <v>110</v>
      </c>
      <c r="C628" s="9" t="s">
        <v>115</v>
      </c>
      <c r="D628" s="23"/>
      <c r="E628" s="42"/>
      <c r="F628" s="43"/>
      <c r="G628" s="42"/>
      <c r="H628" s="43"/>
      <c r="I628" s="25" t="s">
        <v>15</v>
      </c>
      <c r="J628" s="34" t="str">
        <f>IF(E628="","",raw_data!C620)</f>
        <v/>
      </c>
      <c r="K628" s="46"/>
      <c r="L628" s="87"/>
      <c r="M628" s="19" t="str">
        <f>IF(E628="","",raw_data!F620)</f>
        <v/>
      </c>
      <c r="N628" s="20" t="str">
        <f t="shared" si="24"/>
        <v/>
      </c>
      <c r="O628" s="90"/>
      <c r="P628" s="91"/>
      <c r="Q628" s="91"/>
      <c r="R628" s="91"/>
      <c r="S628" s="41" t="str">
        <f t="shared" si="23"/>
        <v/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2.75" customHeight="1" x14ac:dyDescent="0.2">
      <c r="A629" s="9">
        <v>19327</v>
      </c>
      <c r="B629" s="9" t="s">
        <v>110</v>
      </c>
      <c r="C629" s="9" t="s">
        <v>294</v>
      </c>
      <c r="D629" s="23"/>
      <c r="E629" s="42"/>
      <c r="F629" s="43"/>
      <c r="G629" s="42"/>
      <c r="H629" s="43"/>
      <c r="I629" s="25" t="s">
        <v>15</v>
      </c>
      <c r="J629" s="34" t="str">
        <f>IF(E629="","",raw_data!C621)</f>
        <v/>
      </c>
      <c r="K629" s="46"/>
      <c r="L629" s="87"/>
      <c r="M629" s="19" t="str">
        <f>IF(E629="","",raw_data!F621)</f>
        <v/>
      </c>
      <c r="N629" s="20" t="str">
        <f t="shared" si="24"/>
        <v/>
      </c>
      <c r="O629" s="90"/>
      <c r="P629" s="91"/>
      <c r="Q629" s="91"/>
      <c r="R629" s="91"/>
      <c r="S629" s="41" t="str">
        <f t="shared" si="23"/>
        <v/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2.75" customHeight="1" x14ac:dyDescent="0.2">
      <c r="A630" s="9">
        <v>19328</v>
      </c>
      <c r="B630" s="9" t="s">
        <v>110</v>
      </c>
      <c r="C630" s="9" t="s">
        <v>116</v>
      </c>
      <c r="D630" s="23"/>
      <c r="E630" s="42"/>
      <c r="F630" s="43"/>
      <c r="G630" s="42"/>
      <c r="H630" s="43"/>
      <c r="I630" s="25" t="s">
        <v>15</v>
      </c>
      <c r="J630" s="34" t="str">
        <f>IF(E630="","",raw_data!C622)</f>
        <v/>
      </c>
      <c r="K630" s="46"/>
      <c r="L630" s="87"/>
      <c r="M630" s="19" t="str">
        <f>IF(E630="","",raw_data!F622)</f>
        <v/>
      </c>
      <c r="N630" s="20" t="str">
        <f t="shared" si="24"/>
        <v/>
      </c>
      <c r="O630" s="90"/>
      <c r="P630" s="91"/>
      <c r="Q630" s="91"/>
      <c r="R630" s="91"/>
      <c r="S630" s="41" t="str">
        <f t="shared" si="23"/>
        <v/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2.75" customHeight="1" x14ac:dyDescent="0.2">
      <c r="A631" s="9">
        <v>19329</v>
      </c>
      <c r="B631" s="9" t="s">
        <v>110</v>
      </c>
      <c r="C631" s="9" t="s">
        <v>295</v>
      </c>
      <c r="D631" s="23"/>
      <c r="E631" s="42"/>
      <c r="F631" s="43"/>
      <c r="G631" s="42"/>
      <c r="H631" s="43"/>
      <c r="I631" s="25" t="s">
        <v>15</v>
      </c>
      <c r="J631" s="34" t="str">
        <f>IF(E631="","",raw_data!C623)</f>
        <v/>
      </c>
      <c r="K631" s="46"/>
      <c r="L631" s="87"/>
      <c r="M631" s="19" t="str">
        <f>IF(E631="","",raw_data!F623)</f>
        <v/>
      </c>
      <c r="N631" s="20" t="str">
        <f t="shared" si="24"/>
        <v/>
      </c>
      <c r="O631" s="90"/>
      <c r="P631" s="91"/>
      <c r="Q631" s="91"/>
      <c r="R631" s="91"/>
      <c r="S631" s="41" t="str">
        <f t="shared" si="23"/>
        <v/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2.75" customHeight="1" x14ac:dyDescent="0.2">
      <c r="A632" s="9">
        <v>19330</v>
      </c>
      <c r="B632" s="9" t="s">
        <v>110</v>
      </c>
      <c r="C632" s="9" t="s">
        <v>296</v>
      </c>
      <c r="D632" s="23"/>
      <c r="E632" s="42"/>
      <c r="F632" s="43"/>
      <c r="G632" s="42"/>
      <c r="H632" s="43"/>
      <c r="I632" s="25" t="s">
        <v>15</v>
      </c>
      <c r="J632" s="34" t="str">
        <f>IF(E632="","",raw_data!C624)</f>
        <v/>
      </c>
      <c r="K632" s="46"/>
      <c r="L632" s="87"/>
      <c r="M632" s="19" t="str">
        <f>IF(E632="","",raw_data!F624)</f>
        <v/>
      </c>
      <c r="N632" s="20" t="str">
        <f t="shared" si="24"/>
        <v/>
      </c>
      <c r="O632" s="90"/>
      <c r="P632" s="91"/>
      <c r="Q632" s="91"/>
      <c r="R632" s="91"/>
      <c r="S632" s="41" t="str">
        <f t="shared" si="23"/>
        <v/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2.75" customHeight="1" x14ac:dyDescent="0.2">
      <c r="A633" s="9">
        <v>19331</v>
      </c>
      <c r="B633" s="9" t="s">
        <v>110</v>
      </c>
      <c r="C633" s="9" t="s">
        <v>117</v>
      </c>
      <c r="D633" s="23"/>
      <c r="E633" s="42"/>
      <c r="F633" s="43"/>
      <c r="G633" s="42"/>
      <c r="H633" s="43"/>
      <c r="I633" s="25" t="s">
        <v>15</v>
      </c>
      <c r="J633" s="34" t="str">
        <f>IF(E633="","",raw_data!C625)</f>
        <v/>
      </c>
      <c r="K633" s="46"/>
      <c r="L633" s="87"/>
      <c r="M633" s="19" t="str">
        <f>IF(E633="","",raw_data!F625)</f>
        <v/>
      </c>
      <c r="N633" s="20" t="str">
        <f t="shared" si="24"/>
        <v/>
      </c>
      <c r="O633" s="90"/>
      <c r="P633" s="91"/>
      <c r="Q633" s="91"/>
      <c r="R633" s="91"/>
      <c r="S633" s="41" t="str">
        <f t="shared" si="23"/>
        <v/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2.75" customHeight="1" x14ac:dyDescent="0.2">
      <c r="A634" s="9">
        <v>19332</v>
      </c>
      <c r="B634" s="9" t="s">
        <v>110</v>
      </c>
      <c r="C634" s="9" t="s">
        <v>297</v>
      </c>
      <c r="D634" s="23"/>
      <c r="E634" s="42"/>
      <c r="F634" s="43"/>
      <c r="G634" s="42"/>
      <c r="H634" s="43"/>
      <c r="I634" s="25" t="s">
        <v>15</v>
      </c>
      <c r="J634" s="34" t="str">
        <f>IF(E634="","",raw_data!C626)</f>
        <v/>
      </c>
      <c r="K634" s="46"/>
      <c r="L634" s="87"/>
      <c r="M634" s="19" t="str">
        <f>IF(E634="","",raw_data!F626)</f>
        <v/>
      </c>
      <c r="N634" s="20" t="str">
        <f t="shared" si="24"/>
        <v/>
      </c>
      <c r="O634" s="90"/>
      <c r="P634" s="91"/>
      <c r="Q634" s="91"/>
      <c r="R634" s="91"/>
      <c r="S634" s="41" t="str">
        <f t="shared" si="23"/>
        <v/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2.75" customHeight="1" x14ac:dyDescent="0.2">
      <c r="A635" s="9">
        <v>19333</v>
      </c>
      <c r="B635" s="9" t="s">
        <v>110</v>
      </c>
      <c r="C635" s="9" t="s">
        <v>298</v>
      </c>
      <c r="D635" s="23"/>
      <c r="E635" s="42"/>
      <c r="F635" s="43"/>
      <c r="G635" s="42"/>
      <c r="H635" s="43"/>
      <c r="I635" s="25" t="s">
        <v>15</v>
      </c>
      <c r="J635" s="34" t="str">
        <f>IF(E635="","",raw_data!C627)</f>
        <v/>
      </c>
      <c r="K635" s="46"/>
      <c r="L635" s="87"/>
      <c r="M635" s="19" t="str">
        <f>IF(E635="","",raw_data!F627)</f>
        <v/>
      </c>
      <c r="N635" s="20" t="str">
        <f t="shared" si="24"/>
        <v/>
      </c>
      <c r="O635" s="90"/>
      <c r="P635" s="91"/>
      <c r="Q635" s="91"/>
      <c r="R635" s="91"/>
      <c r="S635" s="41" t="str">
        <f t="shared" si="23"/>
        <v/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2.75" customHeight="1" x14ac:dyDescent="0.2">
      <c r="A636" s="9">
        <v>19334</v>
      </c>
      <c r="B636" s="9" t="s">
        <v>110</v>
      </c>
      <c r="C636" s="9" t="s">
        <v>118</v>
      </c>
      <c r="D636" s="23"/>
      <c r="E636" s="42"/>
      <c r="F636" s="43"/>
      <c r="G636" s="42"/>
      <c r="H636" s="43"/>
      <c r="I636" s="25" t="s">
        <v>15</v>
      </c>
      <c r="J636" s="34" t="str">
        <f>IF(E636="","",raw_data!C628)</f>
        <v/>
      </c>
      <c r="K636" s="46"/>
      <c r="L636" s="87"/>
      <c r="M636" s="19" t="str">
        <f>IF(E636="","",raw_data!F628)</f>
        <v/>
      </c>
      <c r="N636" s="20" t="str">
        <f t="shared" si="24"/>
        <v/>
      </c>
      <c r="O636" s="90"/>
      <c r="P636" s="91"/>
      <c r="Q636" s="91"/>
      <c r="R636" s="91"/>
      <c r="S636" s="41" t="str">
        <f t="shared" si="23"/>
        <v/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2.75" customHeight="1" x14ac:dyDescent="0.2">
      <c r="A637" s="9">
        <v>19335</v>
      </c>
      <c r="B637" s="9" t="s">
        <v>110</v>
      </c>
      <c r="C637" s="9" t="s">
        <v>299</v>
      </c>
      <c r="D637" s="23"/>
      <c r="E637" s="42"/>
      <c r="F637" s="43"/>
      <c r="G637" s="42"/>
      <c r="H637" s="43"/>
      <c r="I637" s="25" t="s">
        <v>15</v>
      </c>
      <c r="J637" s="34" t="str">
        <f>IF(E637="","",raw_data!C629)</f>
        <v/>
      </c>
      <c r="K637" s="46"/>
      <c r="L637" s="87"/>
      <c r="M637" s="19" t="str">
        <f>IF(E637="","",raw_data!F629)</f>
        <v/>
      </c>
      <c r="N637" s="20" t="str">
        <f t="shared" si="24"/>
        <v/>
      </c>
      <c r="O637" s="90"/>
      <c r="P637" s="91"/>
      <c r="Q637" s="91"/>
      <c r="R637" s="91"/>
      <c r="S637" s="41" t="str">
        <f t="shared" si="23"/>
        <v/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2.75" customHeight="1" x14ac:dyDescent="0.2">
      <c r="A638" s="9">
        <v>19336</v>
      </c>
      <c r="B638" s="9" t="s">
        <v>110</v>
      </c>
      <c r="C638" s="9" t="s">
        <v>193</v>
      </c>
      <c r="D638" s="23"/>
      <c r="E638" s="42">
        <v>1</v>
      </c>
      <c r="F638" s="43"/>
      <c r="G638" s="42" t="s">
        <v>155</v>
      </c>
      <c r="H638" s="43"/>
      <c r="I638" s="25" t="s">
        <v>15</v>
      </c>
      <c r="J638" s="34">
        <f>IF(E638="","",raw_data!C630)</f>
        <v>0</v>
      </c>
      <c r="K638" s="46"/>
      <c r="L638" s="87"/>
      <c r="M638" s="19">
        <f>IF(E638="","",raw_data!F630)</f>
        <v>0</v>
      </c>
      <c r="N638" s="20" t="str">
        <f t="shared" si="24"/>
        <v>-</v>
      </c>
      <c r="O638" s="90"/>
      <c r="P638" s="91"/>
      <c r="Q638" s="91"/>
      <c r="R638" s="91"/>
      <c r="S638" s="41" t="str">
        <f t="shared" si="23"/>
        <v>erfüllt</v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2.75" customHeight="1" x14ac:dyDescent="0.2">
      <c r="A639" s="9">
        <v>19337</v>
      </c>
      <c r="B639" s="9" t="s">
        <v>110</v>
      </c>
      <c r="C639" s="9" t="s">
        <v>119</v>
      </c>
      <c r="D639" s="23"/>
      <c r="E639" s="42">
        <v>1</v>
      </c>
      <c r="F639" s="43"/>
      <c r="G639" s="42" t="s">
        <v>155</v>
      </c>
      <c r="H639" s="43"/>
      <c r="I639" s="25" t="s">
        <v>15</v>
      </c>
      <c r="J639" s="34">
        <f>IF(E639="","",raw_data!C631)</f>
        <v>0</v>
      </c>
      <c r="K639" s="46"/>
      <c r="L639" s="87"/>
      <c r="M639" s="19">
        <f>IF(E639="","",raw_data!F631)</f>
        <v>0</v>
      </c>
      <c r="N639" s="20" t="str">
        <f t="shared" si="24"/>
        <v>-</v>
      </c>
      <c r="O639" s="90"/>
      <c r="P639" s="91"/>
      <c r="Q639" s="91"/>
      <c r="R639" s="91"/>
      <c r="S639" s="41" t="str">
        <f t="shared" si="23"/>
        <v>erfüllt</v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2.75" customHeight="1" x14ac:dyDescent="0.2">
      <c r="A640" s="9">
        <v>19338</v>
      </c>
      <c r="B640" s="9" t="s">
        <v>110</v>
      </c>
      <c r="C640" s="9" t="s">
        <v>56</v>
      </c>
      <c r="D640" s="23"/>
      <c r="E640" s="42">
        <v>1</v>
      </c>
      <c r="F640" s="43"/>
      <c r="G640" s="42" t="s">
        <v>155</v>
      </c>
      <c r="H640" s="43"/>
      <c r="I640" s="25" t="s">
        <v>15</v>
      </c>
      <c r="J640" s="34">
        <f>IF(E640="","",raw_data!C632)</f>
        <v>0</v>
      </c>
      <c r="K640" s="46"/>
      <c r="L640" s="87"/>
      <c r="M640" s="19">
        <f>IF(E640="","",raw_data!F632)</f>
        <v>0</v>
      </c>
      <c r="N640" s="20" t="str">
        <f t="shared" si="24"/>
        <v>-</v>
      </c>
      <c r="O640" s="90"/>
      <c r="P640" s="91"/>
      <c r="Q640" s="91"/>
      <c r="R640" s="91"/>
      <c r="S640" s="41" t="str">
        <f t="shared" si="23"/>
        <v>erfüllt</v>
      </c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2.75" customHeight="1" x14ac:dyDescent="0.2">
      <c r="A641" s="9">
        <v>19339</v>
      </c>
      <c r="B641" s="9" t="s">
        <v>120</v>
      </c>
      <c r="C641" s="9" t="s">
        <v>77</v>
      </c>
      <c r="D641" s="23"/>
      <c r="E641" s="42"/>
      <c r="F641" s="43"/>
      <c r="G641" s="42"/>
      <c r="H641" s="43"/>
      <c r="I641" s="25" t="s">
        <v>15</v>
      </c>
      <c r="J641" s="34" t="str">
        <f>IF(E641="","",raw_data!C633)</f>
        <v/>
      </c>
      <c r="K641" s="46"/>
      <c r="L641" s="87"/>
      <c r="M641" s="19" t="str">
        <f>IF(E641="","",raw_data!F633)</f>
        <v/>
      </c>
      <c r="N641" s="20" t="str">
        <f t="shared" si="24"/>
        <v/>
      </c>
      <c r="O641" s="90"/>
      <c r="P641" s="91"/>
      <c r="Q641" s="91"/>
      <c r="R641" s="91"/>
      <c r="S641" s="41" t="str">
        <f t="shared" si="23"/>
        <v/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2.75" customHeight="1" x14ac:dyDescent="0.2">
      <c r="A642" s="9">
        <v>19340</v>
      </c>
      <c r="B642" s="9" t="s">
        <v>120</v>
      </c>
      <c r="C642" s="9" t="s">
        <v>19</v>
      </c>
      <c r="D642" s="23"/>
      <c r="E642" s="42"/>
      <c r="F642" s="43"/>
      <c r="G642" s="42"/>
      <c r="H642" s="43"/>
      <c r="I642" s="25" t="s">
        <v>15</v>
      </c>
      <c r="J642" s="34" t="str">
        <f>IF(E642="","",raw_data!C634)</f>
        <v/>
      </c>
      <c r="K642" s="46"/>
      <c r="L642" s="87"/>
      <c r="M642" s="19" t="str">
        <f>IF(E642="","",raw_data!F634)</f>
        <v/>
      </c>
      <c r="N642" s="20" t="str">
        <f t="shared" si="24"/>
        <v/>
      </c>
      <c r="O642" s="90"/>
      <c r="P642" s="91"/>
      <c r="Q642" s="91"/>
      <c r="R642" s="91"/>
      <c r="S642" s="41" t="str">
        <f t="shared" si="23"/>
        <v/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2.75" customHeight="1" x14ac:dyDescent="0.2">
      <c r="A643" s="9">
        <v>19341</v>
      </c>
      <c r="B643" s="9" t="s">
        <v>120</v>
      </c>
      <c r="C643" s="9" t="s">
        <v>240</v>
      </c>
      <c r="D643" s="23"/>
      <c r="E643" s="42">
        <v>1</v>
      </c>
      <c r="F643" s="43"/>
      <c r="G643" s="42" t="s">
        <v>155</v>
      </c>
      <c r="H643" s="43"/>
      <c r="I643" s="25" t="s">
        <v>15</v>
      </c>
      <c r="J643" s="34">
        <f>IF(E643="","",raw_data!C635)</f>
        <v>0</v>
      </c>
      <c r="K643" s="46"/>
      <c r="L643" s="87"/>
      <c r="M643" s="19">
        <f>IF(E643="","",raw_data!F635)</f>
        <v>0</v>
      </c>
      <c r="N643" s="20" t="str">
        <f t="shared" si="24"/>
        <v>-</v>
      </c>
      <c r="O643" s="90"/>
      <c r="P643" s="91"/>
      <c r="Q643" s="91"/>
      <c r="R643" s="91"/>
      <c r="S643" s="41" t="str">
        <f t="shared" si="23"/>
        <v>erfüllt</v>
      </c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2.75" customHeight="1" x14ac:dyDescent="0.2">
      <c r="A644" s="9">
        <v>19342</v>
      </c>
      <c r="B644" s="9" t="s">
        <v>120</v>
      </c>
      <c r="C644" s="9" t="s">
        <v>160</v>
      </c>
      <c r="D644" s="23"/>
      <c r="E644" s="42"/>
      <c r="F644" s="43"/>
      <c r="G644" s="42"/>
      <c r="H644" s="43"/>
      <c r="I644" s="25" t="s">
        <v>15</v>
      </c>
      <c r="J644" s="34" t="str">
        <f>IF(E644="","",raw_data!C636)</f>
        <v/>
      </c>
      <c r="K644" s="46"/>
      <c r="L644" s="87"/>
      <c r="M644" s="19" t="str">
        <f>IF(E644="","",raw_data!F636)</f>
        <v/>
      </c>
      <c r="N644" s="20" t="str">
        <f t="shared" si="24"/>
        <v/>
      </c>
      <c r="O644" s="90"/>
      <c r="P644" s="91"/>
      <c r="Q644" s="91"/>
      <c r="R644" s="91"/>
      <c r="S644" s="41" t="str">
        <f t="shared" si="23"/>
        <v/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2.75" customHeight="1" x14ac:dyDescent="0.2">
      <c r="A645" s="9">
        <v>19343</v>
      </c>
      <c r="B645" s="9" t="s">
        <v>120</v>
      </c>
      <c r="C645" s="9" t="s">
        <v>161</v>
      </c>
      <c r="D645" s="23"/>
      <c r="E645" s="42"/>
      <c r="F645" s="43"/>
      <c r="G645" s="42"/>
      <c r="H645" s="43"/>
      <c r="I645" s="25" t="s">
        <v>15</v>
      </c>
      <c r="J645" s="34" t="str">
        <f>IF(E645="","",raw_data!C637)</f>
        <v/>
      </c>
      <c r="K645" s="46"/>
      <c r="L645" s="87"/>
      <c r="M645" s="19" t="str">
        <f>IF(E645="","",raw_data!F637)</f>
        <v/>
      </c>
      <c r="N645" s="20" t="str">
        <f t="shared" si="24"/>
        <v/>
      </c>
      <c r="O645" s="90"/>
      <c r="P645" s="91"/>
      <c r="Q645" s="91"/>
      <c r="R645" s="91"/>
      <c r="S645" s="41" t="str">
        <f t="shared" si="23"/>
        <v/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2.75" customHeight="1" x14ac:dyDescent="0.2">
      <c r="A646" s="9">
        <v>19344</v>
      </c>
      <c r="B646" s="9" t="s">
        <v>120</v>
      </c>
      <c r="C646" s="9" t="s">
        <v>276</v>
      </c>
      <c r="D646" s="23"/>
      <c r="E646" s="42">
        <v>1</v>
      </c>
      <c r="F646" s="43"/>
      <c r="G646" s="42" t="s">
        <v>155</v>
      </c>
      <c r="H646" s="43"/>
      <c r="I646" s="25" t="s">
        <v>15</v>
      </c>
      <c r="J646" s="34">
        <f>IF(E646="","",raw_data!C638)</f>
        <v>0</v>
      </c>
      <c r="K646" s="46"/>
      <c r="L646" s="87"/>
      <c r="M646" s="19">
        <f>IF(E646="","",raw_data!F638)</f>
        <v>0</v>
      </c>
      <c r="N646" s="20" t="str">
        <f t="shared" si="24"/>
        <v>-</v>
      </c>
      <c r="O646" s="90"/>
      <c r="P646" s="91"/>
      <c r="Q646" s="91"/>
      <c r="R646" s="91"/>
      <c r="S646" s="41" t="str">
        <f t="shared" si="23"/>
        <v>erfüllt</v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2.75" customHeight="1" x14ac:dyDescent="0.2">
      <c r="A647" s="9">
        <v>19345</v>
      </c>
      <c r="B647" s="9" t="s">
        <v>120</v>
      </c>
      <c r="C647" s="9" t="s">
        <v>260</v>
      </c>
      <c r="D647" s="23"/>
      <c r="E647" s="42"/>
      <c r="F647" s="43"/>
      <c r="G647" s="42"/>
      <c r="H647" s="43"/>
      <c r="I647" s="25" t="s">
        <v>15</v>
      </c>
      <c r="J647" s="34" t="str">
        <f>IF(E647="","",raw_data!C639)</f>
        <v/>
      </c>
      <c r="K647" s="46"/>
      <c r="L647" s="87"/>
      <c r="M647" s="19" t="str">
        <f>IF(E647="","",raw_data!F639)</f>
        <v/>
      </c>
      <c r="N647" s="20" t="str">
        <f t="shared" si="24"/>
        <v/>
      </c>
      <c r="O647" s="90"/>
      <c r="P647" s="91"/>
      <c r="Q647" s="91"/>
      <c r="R647" s="91"/>
      <c r="S647" s="41" t="str">
        <f t="shared" si="23"/>
        <v/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2.75" customHeight="1" x14ac:dyDescent="0.2">
      <c r="A648" s="9">
        <v>19346</v>
      </c>
      <c r="B648" s="9" t="s">
        <v>120</v>
      </c>
      <c r="C648" s="9" t="s">
        <v>98</v>
      </c>
      <c r="D648" s="23"/>
      <c r="E648" s="42"/>
      <c r="F648" s="43"/>
      <c r="G648" s="42"/>
      <c r="H648" s="43"/>
      <c r="I648" s="25" t="s">
        <v>15</v>
      </c>
      <c r="J648" s="34" t="str">
        <f>IF(E648="","",raw_data!C640)</f>
        <v/>
      </c>
      <c r="K648" s="46"/>
      <c r="L648" s="87"/>
      <c r="M648" s="19" t="str">
        <f>IF(E648="","",raw_data!F640)</f>
        <v/>
      </c>
      <c r="N648" s="20" t="str">
        <f t="shared" si="24"/>
        <v/>
      </c>
      <c r="O648" s="90"/>
      <c r="P648" s="91"/>
      <c r="Q648" s="91"/>
      <c r="R648" s="91"/>
      <c r="S648" s="41" t="str">
        <f t="shared" si="23"/>
        <v/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2.75" customHeight="1" x14ac:dyDescent="0.2">
      <c r="A649" s="9">
        <v>19347</v>
      </c>
      <c r="B649" s="9" t="s">
        <v>120</v>
      </c>
      <c r="C649" s="9" t="s">
        <v>277</v>
      </c>
      <c r="D649" s="23"/>
      <c r="E649" s="42"/>
      <c r="F649" s="43"/>
      <c r="G649" s="42"/>
      <c r="H649" s="43"/>
      <c r="I649" s="25" t="s">
        <v>15</v>
      </c>
      <c r="J649" s="34" t="str">
        <f>IF(E649="","",raw_data!C641)</f>
        <v/>
      </c>
      <c r="K649" s="46"/>
      <c r="L649" s="87"/>
      <c r="M649" s="19" t="str">
        <f>IF(E649="","",raw_data!F641)</f>
        <v/>
      </c>
      <c r="N649" s="20" t="str">
        <f t="shared" si="24"/>
        <v/>
      </c>
      <c r="O649" s="90"/>
      <c r="P649" s="91"/>
      <c r="Q649" s="91"/>
      <c r="R649" s="91"/>
      <c r="S649" s="41" t="str">
        <f t="shared" si="23"/>
        <v/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2.75" customHeight="1" x14ac:dyDescent="0.2">
      <c r="A650" s="9">
        <v>19348</v>
      </c>
      <c r="B650" s="9" t="s">
        <v>120</v>
      </c>
      <c r="C650" s="9" t="s">
        <v>111</v>
      </c>
      <c r="D650" s="23"/>
      <c r="E650" s="42"/>
      <c r="F650" s="43"/>
      <c r="G650" s="42"/>
      <c r="H650" s="43"/>
      <c r="I650" s="25" t="s">
        <v>15</v>
      </c>
      <c r="J650" s="34" t="str">
        <f>IF(E650="","",raw_data!C642)</f>
        <v/>
      </c>
      <c r="K650" s="46"/>
      <c r="L650" s="87"/>
      <c r="M650" s="19" t="str">
        <f>IF(E650="","",raw_data!F642)</f>
        <v/>
      </c>
      <c r="N650" s="20" t="str">
        <f t="shared" si="24"/>
        <v/>
      </c>
      <c r="O650" s="90"/>
      <c r="P650" s="91"/>
      <c r="Q650" s="91"/>
      <c r="R650" s="91"/>
      <c r="S650" s="41" t="str">
        <f t="shared" ref="S650:S713" si="25">IF(E650="","",IF(OR(NOT(ISNUMBER(N650)),N650&lt;=(1-E650)),"erfüllt",IF(G650="Fehler","mit Fehler",IF(G650="Warnung","mit Warnung",""))))</f>
        <v/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2.75" customHeight="1" x14ac:dyDescent="0.2">
      <c r="A651" s="9">
        <v>19349</v>
      </c>
      <c r="B651" s="9" t="s">
        <v>120</v>
      </c>
      <c r="C651" s="9" t="s">
        <v>278</v>
      </c>
      <c r="D651" s="23"/>
      <c r="E651" s="42"/>
      <c r="F651" s="43"/>
      <c r="G651" s="42"/>
      <c r="H651" s="43"/>
      <c r="I651" s="25" t="s">
        <v>15</v>
      </c>
      <c r="J651" s="34" t="str">
        <f>IF(E651="","",raw_data!C643)</f>
        <v/>
      </c>
      <c r="K651" s="46"/>
      <c r="L651" s="87"/>
      <c r="M651" s="19" t="str">
        <f>IF(E651="","",raw_data!F643)</f>
        <v/>
      </c>
      <c r="N651" s="20" t="str">
        <f t="shared" ref="N651:N714" si="26">IF(E651="","",IFERROR(M651/J651,"-"))</f>
        <v/>
      </c>
      <c r="O651" s="90"/>
      <c r="P651" s="91"/>
      <c r="Q651" s="91"/>
      <c r="R651" s="91"/>
      <c r="S651" s="41" t="str">
        <f t="shared" si="25"/>
        <v/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2.75" customHeight="1" x14ac:dyDescent="0.2">
      <c r="A652" s="9">
        <v>19350</v>
      </c>
      <c r="B652" s="9" t="s">
        <v>120</v>
      </c>
      <c r="C652" s="9" t="s">
        <v>279</v>
      </c>
      <c r="D652" s="23"/>
      <c r="E652" s="42"/>
      <c r="F652" s="43"/>
      <c r="G652" s="42"/>
      <c r="H652" s="43"/>
      <c r="I652" s="25" t="s">
        <v>15</v>
      </c>
      <c r="J652" s="34" t="str">
        <f>IF(E652="","",raw_data!C644)</f>
        <v/>
      </c>
      <c r="K652" s="46"/>
      <c r="L652" s="87"/>
      <c r="M652" s="19" t="str">
        <f>IF(E652="","",raw_data!F644)</f>
        <v/>
      </c>
      <c r="N652" s="20" t="str">
        <f t="shared" si="26"/>
        <v/>
      </c>
      <c r="O652" s="90"/>
      <c r="P652" s="91"/>
      <c r="Q652" s="91"/>
      <c r="R652" s="91"/>
      <c r="S652" s="41" t="str">
        <f t="shared" si="25"/>
        <v/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2.75" customHeight="1" x14ac:dyDescent="0.2">
      <c r="A653" s="9">
        <v>19351</v>
      </c>
      <c r="B653" s="9" t="s">
        <v>120</v>
      </c>
      <c r="C653" s="9" t="s">
        <v>280</v>
      </c>
      <c r="D653" s="23"/>
      <c r="E653" s="42"/>
      <c r="F653" s="43"/>
      <c r="G653" s="42"/>
      <c r="H653" s="43"/>
      <c r="I653" s="25" t="s">
        <v>15</v>
      </c>
      <c r="J653" s="34" t="str">
        <f>IF(E653="","",raw_data!C645)</f>
        <v/>
      </c>
      <c r="K653" s="46"/>
      <c r="L653" s="87"/>
      <c r="M653" s="19" t="str">
        <f>IF(E653="","",raw_data!F645)</f>
        <v/>
      </c>
      <c r="N653" s="20" t="str">
        <f t="shared" si="26"/>
        <v/>
      </c>
      <c r="O653" s="90"/>
      <c r="P653" s="91"/>
      <c r="Q653" s="91"/>
      <c r="R653" s="91"/>
      <c r="S653" s="41" t="str">
        <f t="shared" si="25"/>
        <v/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2.75" customHeight="1" x14ac:dyDescent="0.2">
      <c r="A654" s="9">
        <v>19352</v>
      </c>
      <c r="B654" s="9" t="s">
        <v>120</v>
      </c>
      <c r="C654" s="9" t="s">
        <v>281</v>
      </c>
      <c r="D654" s="23"/>
      <c r="E654" s="42"/>
      <c r="F654" s="43"/>
      <c r="G654" s="42"/>
      <c r="H654" s="43"/>
      <c r="I654" s="25" t="s">
        <v>15</v>
      </c>
      <c r="J654" s="34" t="str">
        <f>IF(E654="","",raw_data!C646)</f>
        <v/>
      </c>
      <c r="K654" s="46"/>
      <c r="L654" s="87"/>
      <c r="M654" s="19" t="str">
        <f>IF(E654="","",raw_data!F646)</f>
        <v/>
      </c>
      <c r="N654" s="20" t="str">
        <f t="shared" si="26"/>
        <v/>
      </c>
      <c r="O654" s="90"/>
      <c r="P654" s="91"/>
      <c r="Q654" s="91"/>
      <c r="R654" s="91"/>
      <c r="S654" s="41" t="str">
        <f t="shared" si="25"/>
        <v/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2.75" customHeight="1" x14ac:dyDescent="0.2">
      <c r="A655" s="9">
        <v>19353</v>
      </c>
      <c r="B655" s="9" t="s">
        <v>120</v>
      </c>
      <c r="C655" s="9" t="s">
        <v>282</v>
      </c>
      <c r="D655" s="23"/>
      <c r="E655" s="42"/>
      <c r="F655" s="43"/>
      <c r="G655" s="42"/>
      <c r="H655" s="43"/>
      <c r="I655" s="25" t="s">
        <v>15</v>
      </c>
      <c r="J655" s="34" t="str">
        <f>IF(E655="","",raw_data!C647)</f>
        <v/>
      </c>
      <c r="K655" s="46"/>
      <c r="L655" s="87"/>
      <c r="M655" s="19" t="str">
        <f>IF(E655="","",raw_data!F647)</f>
        <v/>
      </c>
      <c r="N655" s="20" t="str">
        <f t="shared" si="26"/>
        <v/>
      </c>
      <c r="O655" s="90"/>
      <c r="P655" s="91"/>
      <c r="Q655" s="91"/>
      <c r="R655" s="91"/>
      <c r="S655" s="41" t="str">
        <f t="shared" si="25"/>
        <v/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2.75" customHeight="1" x14ac:dyDescent="0.2">
      <c r="A656" s="9">
        <v>19354</v>
      </c>
      <c r="B656" s="9" t="s">
        <v>120</v>
      </c>
      <c r="C656" s="9" t="s">
        <v>283</v>
      </c>
      <c r="D656" s="23"/>
      <c r="E656" s="42"/>
      <c r="F656" s="43"/>
      <c r="G656" s="42"/>
      <c r="H656" s="43"/>
      <c r="I656" s="25" t="s">
        <v>15</v>
      </c>
      <c r="J656" s="34" t="str">
        <f>IF(E656="","",raw_data!C648)</f>
        <v/>
      </c>
      <c r="K656" s="46"/>
      <c r="L656" s="87"/>
      <c r="M656" s="19" t="str">
        <f>IF(E656="","",raw_data!F648)</f>
        <v/>
      </c>
      <c r="N656" s="20" t="str">
        <f t="shared" si="26"/>
        <v/>
      </c>
      <c r="O656" s="90"/>
      <c r="P656" s="91"/>
      <c r="Q656" s="91"/>
      <c r="R656" s="91"/>
      <c r="S656" s="41" t="str">
        <f t="shared" si="25"/>
        <v/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2.75" customHeight="1" x14ac:dyDescent="0.2">
      <c r="A657" s="9">
        <v>19355</v>
      </c>
      <c r="B657" s="9" t="s">
        <v>120</v>
      </c>
      <c r="C657" s="9" t="s">
        <v>261</v>
      </c>
      <c r="D657" s="23"/>
      <c r="E657" s="42"/>
      <c r="F657" s="43"/>
      <c r="G657" s="42"/>
      <c r="H657" s="43"/>
      <c r="I657" s="25" t="s">
        <v>15</v>
      </c>
      <c r="J657" s="34" t="str">
        <f>IF(E657="","",raw_data!C649)</f>
        <v/>
      </c>
      <c r="K657" s="46"/>
      <c r="L657" s="87"/>
      <c r="M657" s="19" t="str">
        <f>IF(E657="","",raw_data!F649)</f>
        <v/>
      </c>
      <c r="N657" s="20" t="str">
        <f t="shared" si="26"/>
        <v/>
      </c>
      <c r="O657" s="90"/>
      <c r="P657" s="91"/>
      <c r="Q657" s="91"/>
      <c r="R657" s="91"/>
      <c r="S657" s="41" t="str">
        <f t="shared" si="25"/>
        <v/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2.75" customHeight="1" x14ac:dyDescent="0.2">
      <c r="A658" s="9">
        <v>19356</v>
      </c>
      <c r="B658" s="9" t="s">
        <v>120</v>
      </c>
      <c r="C658" s="9" t="s">
        <v>262</v>
      </c>
      <c r="D658" s="23"/>
      <c r="E658" s="42"/>
      <c r="F658" s="43"/>
      <c r="G658" s="42"/>
      <c r="H658" s="43"/>
      <c r="I658" s="25" t="s">
        <v>15</v>
      </c>
      <c r="J658" s="34" t="str">
        <f>IF(E658="","",raw_data!C650)</f>
        <v/>
      </c>
      <c r="K658" s="46"/>
      <c r="L658" s="87"/>
      <c r="M658" s="19" t="str">
        <f>IF(E658="","",raw_data!F650)</f>
        <v/>
      </c>
      <c r="N658" s="20" t="str">
        <f t="shared" si="26"/>
        <v/>
      </c>
      <c r="O658" s="90"/>
      <c r="P658" s="91"/>
      <c r="Q658" s="91"/>
      <c r="R658" s="91"/>
      <c r="S658" s="41" t="str">
        <f t="shared" si="25"/>
        <v/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2.75" customHeight="1" x14ac:dyDescent="0.2">
      <c r="A659" s="9">
        <v>19357</v>
      </c>
      <c r="B659" s="9" t="s">
        <v>120</v>
      </c>
      <c r="C659" s="9" t="s">
        <v>284</v>
      </c>
      <c r="D659" s="23"/>
      <c r="E659" s="42"/>
      <c r="F659" s="43"/>
      <c r="G659" s="42"/>
      <c r="H659" s="43"/>
      <c r="I659" s="25" t="s">
        <v>15</v>
      </c>
      <c r="J659" s="34" t="str">
        <f>IF(E659="","",raw_data!C651)</f>
        <v/>
      </c>
      <c r="K659" s="46"/>
      <c r="L659" s="87"/>
      <c r="M659" s="19" t="str">
        <f>IF(E659="","",raw_data!F651)</f>
        <v/>
      </c>
      <c r="N659" s="20" t="str">
        <f t="shared" si="26"/>
        <v/>
      </c>
      <c r="O659" s="90"/>
      <c r="P659" s="91"/>
      <c r="Q659" s="91"/>
      <c r="R659" s="91"/>
      <c r="S659" s="41" t="str">
        <f t="shared" si="25"/>
        <v/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2.75" customHeight="1" x14ac:dyDescent="0.2">
      <c r="A660" s="9">
        <v>19358</v>
      </c>
      <c r="B660" s="9" t="s">
        <v>120</v>
      </c>
      <c r="C660" s="9" t="s">
        <v>285</v>
      </c>
      <c r="D660" s="23"/>
      <c r="E660" s="42"/>
      <c r="F660" s="43"/>
      <c r="G660" s="42"/>
      <c r="H660" s="43"/>
      <c r="I660" s="25" t="s">
        <v>15</v>
      </c>
      <c r="J660" s="34" t="str">
        <f>IF(E660="","",raw_data!C652)</f>
        <v/>
      </c>
      <c r="K660" s="46"/>
      <c r="L660" s="87"/>
      <c r="M660" s="19" t="str">
        <f>IF(E660="","",raw_data!F652)</f>
        <v/>
      </c>
      <c r="N660" s="20" t="str">
        <f t="shared" si="26"/>
        <v/>
      </c>
      <c r="O660" s="90"/>
      <c r="P660" s="91"/>
      <c r="Q660" s="91"/>
      <c r="R660" s="91"/>
      <c r="S660" s="41" t="str">
        <f t="shared" si="25"/>
        <v/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2.75" customHeight="1" x14ac:dyDescent="0.2">
      <c r="A661" s="9">
        <v>19359</v>
      </c>
      <c r="B661" s="9" t="s">
        <v>120</v>
      </c>
      <c r="C661" s="9" t="s">
        <v>263</v>
      </c>
      <c r="D661" s="23"/>
      <c r="E661" s="42"/>
      <c r="F661" s="43"/>
      <c r="G661" s="42"/>
      <c r="H661" s="43"/>
      <c r="I661" s="25" t="s">
        <v>15</v>
      </c>
      <c r="J661" s="34" t="str">
        <f>IF(E661="","",raw_data!C653)</f>
        <v/>
      </c>
      <c r="K661" s="46"/>
      <c r="L661" s="87"/>
      <c r="M661" s="19" t="str">
        <f>IF(E661="","",raw_data!F653)</f>
        <v/>
      </c>
      <c r="N661" s="20" t="str">
        <f t="shared" si="26"/>
        <v/>
      </c>
      <c r="O661" s="90"/>
      <c r="P661" s="91"/>
      <c r="Q661" s="91"/>
      <c r="R661" s="91"/>
      <c r="S661" s="41" t="str">
        <f t="shared" si="25"/>
        <v/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2.75" customHeight="1" x14ac:dyDescent="0.2">
      <c r="A662" s="9">
        <v>19360</v>
      </c>
      <c r="B662" s="9" t="s">
        <v>120</v>
      </c>
      <c r="C662" s="9" t="s">
        <v>99</v>
      </c>
      <c r="D662" s="23"/>
      <c r="E662" s="42"/>
      <c r="F662" s="43"/>
      <c r="G662" s="42"/>
      <c r="H662" s="43"/>
      <c r="I662" s="25" t="s">
        <v>15</v>
      </c>
      <c r="J662" s="34" t="str">
        <f>IF(E662="","",raw_data!C654)</f>
        <v/>
      </c>
      <c r="K662" s="46"/>
      <c r="L662" s="87"/>
      <c r="M662" s="19" t="str">
        <f>IF(E662="","",raw_data!F654)</f>
        <v/>
      </c>
      <c r="N662" s="20" t="str">
        <f t="shared" si="26"/>
        <v/>
      </c>
      <c r="O662" s="90"/>
      <c r="P662" s="91"/>
      <c r="Q662" s="91"/>
      <c r="R662" s="91"/>
      <c r="S662" s="41" t="str">
        <f t="shared" si="25"/>
        <v/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2.75" customHeight="1" x14ac:dyDescent="0.2">
      <c r="A663" s="9">
        <v>19361</v>
      </c>
      <c r="B663" s="9" t="s">
        <v>120</v>
      </c>
      <c r="C663" s="9" t="s">
        <v>286</v>
      </c>
      <c r="D663" s="23"/>
      <c r="E663" s="42"/>
      <c r="F663" s="43"/>
      <c r="G663" s="42"/>
      <c r="H663" s="43"/>
      <c r="I663" s="25" t="s">
        <v>15</v>
      </c>
      <c r="J663" s="34" t="str">
        <f>IF(E663="","",raw_data!C655)</f>
        <v/>
      </c>
      <c r="K663" s="46"/>
      <c r="L663" s="87"/>
      <c r="M663" s="19" t="str">
        <f>IF(E663="","",raw_data!F655)</f>
        <v/>
      </c>
      <c r="N663" s="20" t="str">
        <f t="shared" si="26"/>
        <v/>
      </c>
      <c r="O663" s="90"/>
      <c r="P663" s="91"/>
      <c r="Q663" s="91"/>
      <c r="R663" s="91"/>
      <c r="S663" s="41" t="str">
        <f t="shared" si="25"/>
        <v/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2.75" customHeight="1" x14ac:dyDescent="0.2">
      <c r="A664" s="9">
        <v>19362</v>
      </c>
      <c r="B664" s="9" t="s">
        <v>120</v>
      </c>
      <c r="C664" s="9" t="s">
        <v>112</v>
      </c>
      <c r="D664" s="23"/>
      <c r="E664" s="42"/>
      <c r="F664" s="43"/>
      <c r="G664" s="42"/>
      <c r="H664" s="43"/>
      <c r="I664" s="25" t="s">
        <v>15</v>
      </c>
      <c r="J664" s="34" t="str">
        <f>IF(E664="","",raw_data!C656)</f>
        <v/>
      </c>
      <c r="K664" s="46"/>
      <c r="L664" s="87"/>
      <c r="M664" s="19" t="str">
        <f>IF(E664="","",raw_data!F656)</f>
        <v/>
      </c>
      <c r="N664" s="20" t="str">
        <f t="shared" si="26"/>
        <v/>
      </c>
      <c r="O664" s="90"/>
      <c r="P664" s="91"/>
      <c r="Q664" s="91"/>
      <c r="R664" s="91"/>
      <c r="S664" s="41" t="str">
        <f t="shared" si="25"/>
        <v/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2.75" customHeight="1" x14ac:dyDescent="0.2">
      <c r="A665" s="9">
        <v>19363</v>
      </c>
      <c r="B665" s="9" t="s">
        <v>120</v>
      </c>
      <c r="C665" s="9" t="s">
        <v>264</v>
      </c>
      <c r="D665" s="23"/>
      <c r="E665" s="42"/>
      <c r="F665" s="43"/>
      <c r="G665" s="42"/>
      <c r="H665" s="43"/>
      <c r="I665" s="25" t="s">
        <v>15</v>
      </c>
      <c r="J665" s="34" t="str">
        <f>IF(E665="","",raw_data!C657)</f>
        <v/>
      </c>
      <c r="K665" s="46"/>
      <c r="L665" s="87"/>
      <c r="M665" s="19" t="str">
        <f>IF(E665="","",raw_data!F657)</f>
        <v/>
      </c>
      <c r="N665" s="20" t="str">
        <f t="shared" si="26"/>
        <v/>
      </c>
      <c r="O665" s="90"/>
      <c r="P665" s="91"/>
      <c r="Q665" s="91"/>
      <c r="R665" s="91"/>
      <c r="S665" s="41" t="str">
        <f t="shared" si="25"/>
        <v/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2.75" customHeight="1" x14ac:dyDescent="0.2">
      <c r="A666" s="9">
        <v>19364</v>
      </c>
      <c r="B666" s="9" t="s">
        <v>120</v>
      </c>
      <c r="C666" s="9" t="s">
        <v>265</v>
      </c>
      <c r="D666" s="23"/>
      <c r="E666" s="42"/>
      <c r="F666" s="43"/>
      <c r="G666" s="42"/>
      <c r="H666" s="43"/>
      <c r="I666" s="25" t="s">
        <v>15</v>
      </c>
      <c r="J666" s="34" t="str">
        <f>IF(E666="","",raw_data!C658)</f>
        <v/>
      </c>
      <c r="K666" s="46"/>
      <c r="L666" s="87"/>
      <c r="M666" s="19" t="str">
        <f>IF(E666="","",raw_data!F658)</f>
        <v/>
      </c>
      <c r="N666" s="20" t="str">
        <f t="shared" si="26"/>
        <v/>
      </c>
      <c r="O666" s="90"/>
      <c r="P666" s="91"/>
      <c r="Q666" s="91"/>
      <c r="R666" s="91"/>
      <c r="S666" s="41" t="str">
        <f t="shared" si="25"/>
        <v/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2.75" customHeight="1" x14ac:dyDescent="0.2">
      <c r="A667" s="9">
        <v>19365</v>
      </c>
      <c r="B667" s="9" t="s">
        <v>120</v>
      </c>
      <c r="C667" s="9" t="s">
        <v>287</v>
      </c>
      <c r="D667" s="23"/>
      <c r="E667" s="42"/>
      <c r="F667" s="43"/>
      <c r="G667" s="42"/>
      <c r="H667" s="43"/>
      <c r="I667" s="25" t="s">
        <v>15</v>
      </c>
      <c r="J667" s="34" t="str">
        <f>IF(E667="","",raw_data!C659)</f>
        <v/>
      </c>
      <c r="K667" s="46"/>
      <c r="L667" s="87"/>
      <c r="M667" s="19" t="str">
        <f>IF(E667="","",raw_data!F659)</f>
        <v/>
      </c>
      <c r="N667" s="20" t="str">
        <f t="shared" si="26"/>
        <v/>
      </c>
      <c r="O667" s="90"/>
      <c r="P667" s="91"/>
      <c r="Q667" s="91"/>
      <c r="R667" s="91"/>
      <c r="S667" s="41" t="str">
        <f t="shared" si="25"/>
        <v/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2.75" customHeight="1" x14ac:dyDescent="0.2">
      <c r="A668" s="9">
        <v>19366</v>
      </c>
      <c r="B668" s="9" t="s">
        <v>120</v>
      </c>
      <c r="C668" s="9" t="s">
        <v>288</v>
      </c>
      <c r="D668" s="23"/>
      <c r="E668" s="42"/>
      <c r="F668" s="43"/>
      <c r="G668" s="42"/>
      <c r="H668" s="43"/>
      <c r="I668" s="25" t="s">
        <v>15</v>
      </c>
      <c r="J668" s="34" t="str">
        <f>IF(E668="","",raw_data!C660)</f>
        <v/>
      </c>
      <c r="K668" s="46"/>
      <c r="L668" s="87"/>
      <c r="M668" s="19" t="str">
        <f>IF(E668="","",raw_data!F660)</f>
        <v/>
      </c>
      <c r="N668" s="20" t="str">
        <f t="shared" si="26"/>
        <v/>
      </c>
      <c r="O668" s="90"/>
      <c r="P668" s="91"/>
      <c r="Q668" s="91"/>
      <c r="R668" s="91"/>
      <c r="S668" s="41" t="str">
        <f t="shared" si="25"/>
        <v/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2.75" customHeight="1" x14ac:dyDescent="0.2">
      <c r="A669" s="9">
        <v>19367</v>
      </c>
      <c r="B669" s="9" t="s">
        <v>120</v>
      </c>
      <c r="C669" s="9" t="s">
        <v>214</v>
      </c>
      <c r="D669" s="23"/>
      <c r="E669" s="42"/>
      <c r="F669" s="43"/>
      <c r="G669" s="42"/>
      <c r="H669" s="43"/>
      <c r="I669" s="25" t="s">
        <v>15</v>
      </c>
      <c r="J669" s="34" t="str">
        <f>IF(E669="","",raw_data!C661)</f>
        <v/>
      </c>
      <c r="K669" s="46"/>
      <c r="L669" s="87"/>
      <c r="M669" s="19" t="str">
        <f>IF(E669="","",raw_data!F661)</f>
        <v/>
      </c>
      <c r="N669" s="20" t="str">
        <f t="shared" si="26"/>
        <v/>
      </c>
      <c r="O669" s="90"/>
      <c r="P669" s="91"/>
      <c r="Q669" s="91"/>
      <c r="R669" s="91"/>
      <c r="S669" s="41" t="str">
        <f t="shared" si="25"/>
        <v/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2.75" customHeight="1" x14ac:dyDescent="0.2">
      <c r="A670" s="9">
        <v>19368</v>
      </c>
      <c r="B670" s="9" t="s">
        <v>120</v>
      </c>
      <c r="C670" s="9" t="s">
        <v>101</v>
      </c>
      <c r="D670" s="23"/>
      <c r="E670" s="42"/>
      <c r="F670" s="43"/>
      <c r="G670" s="42"/>
      <c r="H670" s="43"/>
      <c r="I670" s="25" t="s">
        <v>15</v>
      </c>
      <c r="J670" s="34" t="str">
        <f>IF(E670="","",raw_data!C662)</f>
        <v/>
      </c>
      <c r="K670" s="46"/>
      <c r="L670" s="87"/>
      <c r="M670" s="19" t="str">
        <f>IF(E670="","",raw_data!F662)</f>
        <v/>
      </c>
      <c r="N670" s="20" t="str">
        <f t="shared" si="26"/>
        <v/>
      </c>
      <c r="O670" s="90"/>
      <c r="P670" s="91"/>
      <c r="Q670" s="91"/>
      <c r="R670" s="91"/>
      <c r="S670" s="41" t="str">
        <f t="shared" si="25"/>
        <v/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2.75" customHeight="1" x14ac:dyDescent="0.2">
      <c r="A671" s="9">
        <v>19369</v>
      </c>
      <c r="B671" s="9" t="s">
        <v>120</v>
      </c>
      <c r="C671" s="9" t="s">
        <v>272</v>
      </c>
      <c r="D671" s="23"/>
      <c r="E671" s="42"/>
      <c r="F671" s="43"/>
      <c r="G671" s="42"/>
      <c r="H671" s="43"/>
      <c r="I671" s="25" t="s">
        <v>15</v>
      </c>
      <c r="J671" s="34" t="str">
        <f>IF(E671="","",raw_data!C663)</f>
        <v/>
      </c>
      <c r="K671" s="46"/>
      <c r="L671" s="87"/>
      <c r="M671" s="19" t="str">
        <f>IF(E671="","",raw_data!F663)</f>
        <v/>
      </c>
      <c r="N671" s="20" t="str">
        <f t="shared" si="26"/>
        <v/>
      </c>
      <c r="O671" s="90"/>
      <c r="P671" s="91"/>
      <c r="Q671" s="91"/>
      <c r="R671" s="91"/>
      <c r="S671" s="41" t="str">
        <f t="shared" si="25"/>
        <v/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2.75" customHeight="1" x14ac:dyDescent="0.2">
      <c r="A672" s="9">
        <v>19370</v>
      </c>
      <c r="B672" s="9" t="s">
        <v>120</v>
      </c>
      <c r="C672" s="9" t="s">
        <v>273</v>
      </c>
      <c r="D672" s="23"/>
      <c r="E672" s="42"/>
      <c r="F672" s="43"/>
      <c r="G672" s="42"/>
      <c r="H672" s="43"/>
      <c r="I672" s="25" t="s">
        <v>15</v>
      </c>
      <c r="J672" s="34" t="str">
        <f>IF(E672="","",raw_data!C664)</f>
        <v/>
      </c>
      <c r="K672" s="46"/>
      <c r="L672" s="87"/>
      <c r="M672" s="19" t="str">
        <f>IF(E672="","",raw_data!F664)</f>
        <v/>
      </c>
      <c r="N672" s="20" t="str">
        <f t="shared" si="26"/>
        <v/>
      </c>
      <c r="O672" s="90"/>
      <c r="P672" s="91"/>
      <c r="Q672" s="91"/>
      <c r="R672" s="91"/>
      <c r="S672" s="41" t="str">
        <f t="shared" si="25"/>
        <v/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2.75" customHeight="1" x14ac:dyDescent="0.2">
      <c r="A673" s="9">
        <v>19371</v>
      </c>
      <c r="B673" s="9" t="s">
        <v>120</v>
      </c>
      <c r="C673" s="9" t="s">
        <v>443</v>
      </c>
      <c r="D673" s="23"/>
      <c r="E673" s="42"/>
      <c r="F673" s="43"/>
      <c r="G673" s="42"/>
      <c r="H673" s="43"/>
      <c r="I673" s="25" t="s">
        <v>15</v>
      </c>
      <c r="J673" s="34" t="str">
        <f>IF(E673="","",raw_data!C665)</f>
        <v/>
      </c>
      <c r="K673" s="46"/>
      <c r="L673" s="87"/>
      <c r="M673" s="19" t="str">
        <f>IF(E673="","",raw_data!F665)</f>
        <v/>
      </c>
      <c r="N673" s="20" t="str">
        <f t="shared" si="26"/>
        <v/>
      </c>
      <c r="O673" s="90"/>
      <c r="P673" s="91"/>
      <c r="Q673" s="91"/>
      <c r="R673" s="91"/>
      <c r="S673" s="41" t="str">
        <f t="shared" si="25"/>
        <v/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2.75" customHeight="1" x14ac:dyDescent="0.2">
      <c r="A674" s="9">
        <v>19372</v>
      </c>
      <c r="B674" s="9" t="s">
        <v>120</v>
      </c>
      <c r="C674" s="9" t="s">
        <v>346</v>
      </c>
      <c r="D674" s="23"/>
      <c r="E674" s="42"/>
      <c r="F674" s="43"/>
      <c r="G674" s="42"/>
      <c r="H674" s="43"/>
      <c r="I674" s="25" t="s">
        <v>15</v>
      </c>
      <c r="J674" s="34" t="str">
        <f>IF(E674="","",raw_data!C666)</f>
        <v/>
      </c>
      <c r="K674" s="46"/>
      <c r="L674" s="87"/>
      <c r="M674" s="19" t="str">
        <f>IF(E674="","",raw_data!F666)</f>
        <v/>
      </c>
      <c r="N674" s="20" t="str">
        <f t="shared" si="26"/>
        <v/>
      </c>
      <c r="O674" s="90"/>
      <c r="P674" s="91"/>
      <c r="Q674" s="91"/>
      <c r="R674" s="91"/>
      <c r="S674" s="41" t="str">
        <f t="shared" si="25"/>
        <v/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2.75" customHeight="1" x14ac:dyDescent="0.2">
      <c r="A675" s="9">
        <v>19373</v>
      </c>
      <c r="B675" s="9" t="s">
        <v>120</v>
      </c>
      <c r="C675" s="9" t="s">
        <v>347</v>
      </c>
      <c r="D675" s="23"/>
      <c r="E675" s="42"/>
      <c r="F675" s="43"/>
      <c r="G675" s="42"/>
      <c r="H675" s="43"/>
      <c r="I675" s="25" t="s">
        <v>15</v>
      </c>
      <c r="J675" s="34" t="str">
        <f>IF(E675="","",raw_data!C667)</f>
        <v/>
      </c>
      <c r="K675" s="46"/>
      <c r="L675" s="87"/>
      <c r="M675" s="19" t="str">
        <f>IF(E675="","",raw_data!F667)</f>
        <v/>
      </c>
      <c r="N675" s="20" t="str">
        <f t="shared" si="26"/>
        <v/>
      </c>
      <c r="O675" s="90"/>
      <c r="P675" s="91"/>
      <c r="Q675" s="91"/>
      <c r="R675" s="91"/>
      <c r="S675" s="41" t="str">
        <f t="shared" si="25"/>
        <v/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2.75" customHeight="1" x14ac:dyDescent="0.2">
      <c r="A676" s="9">
        <v>19374</v>
      </c>
      <c r="B676" s="9" t="s">
        <v>120</v>
      </c>
      <c r="C676" s="9" t="s">
        <v>348</v>
      </c>
      <c r="D676" s="23"/>
      <c r="E676" s="42"/>
      <c r="F676" s="43"/>
      <c r="G676" s="42"/>
      <c r="H676" s="43"/>
      <c r="I676" s="25" t="s">
        <v>15</v>
      </c>
      <c r="J676" s="34" t="str">
        <f>IF(E676="","",raw_data!C668)</f>
        <v/>
      </c>
      <c r="K676" s="46"/>
      <c r="L676" s="87"/>
      <c r="M676" s="19" t="str">
        <f>IF(E676="","",raw_data!F668)</f>
        <v/>
      </c>
      <c r="N676" s="20" t="str">
        <f t="shared" si="26"/>
        <v/>
      </c>
      <c r="O676" s="90"/>
      <c r="P676" s="91"/>
      <c r="Q676" s="91"/>
      <c r="R676" s="91"/>
      <c r="S676" s="41" t="str">
        <f t="shared" si="25"/>
        <v/>
      </c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2.75" customHeight="1" x14ac:dyDescent="0.2">
      <c r="A677" s="9">
        <v>19375</v>
      </c>
      <c r="B677" s="9" t="s">
        <v>120</v>
      </c>
      <c r="C677" s="9" t="s">
        <v>349</v>
      </c>
      <c r="D677" s="23"/>
      <c r="E677" s="42"/>
      <c r="F677" s="43"/>
      <c r="G677" s="42"/>
      <c r="H677" s="43"/>
      <c r="I677" s="25" t="s">
        <v>15</v>
      </c>
      <c r="J677" s="34" t="str">
        <f>IF(E677="","",raw_data!C669)</f>
        <v/>
      </c>
      <c r="K677" s="46"/>
      <c r="L677" s="87"/>
      <c r="M677" s="19" t="str">
        <f>IF(E677="","",raw_data!F669)</f>
        <v/>
      </c>
      <c r="N677" s="20" t="str">
        <f t="shared" si="26"/>
        <v/>
      </c>
      <c r="O677" s="90"/>
      <c r="P677" s="91"/>
      <c r="Q677" s="91"/>
      <c r="R677" s="91"/>
      <c r="S677" s="41" t="str">
        <f t="shared" si="25"/>
        <v/>
      </c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2.75" customHeight="1" x14ac:dyDescent="0.2">
      <c r="A678" s="9">
        <v>19376</v>
      </c>
      <c r="B678" s="9" t="s">
        <v>120</v>
      </c>
      <c r="C678" s="9" t="s">
        <v>350</v>
      </c>
      <c r="D678" s="23"/>
      <c r="E678" s="42"/>
      <c r="F678" s="43"/>
      <c r="G678" s="42"/>
      <c r="H678" s="43"/>
      <c r="I678" s="25" t="s">
        <v>15</v>
      </c>
      <c r="J678" s="34" t="str">
        <f>IF(E678="","",raw_data!C670)</f>
        <v/>
      </c>
      <c r="K678" s="46"/>
      <c r="L678" s="87"/>
      <c r="M678" s="19" t="str">
        <f>IF(E678="","",raw_data!F670)</f>
        <v/>
      </c>
      <c r="N678" s="20" t="str">
        <f t="shared" si="26"/>
        <v/>
      </c>
      <c r="O678" s="90"/>
      <c r="P678" s="91"/>
      <c r="Q678" s="91"/>
      <c r="R678" s="91"/>
      <c r="S678" s="41" t="str">
        <f t="shared" si="25"/>
        <v/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2.75" customHeight="1" x14ac:dyDescent="0.2">
      <c r="A679" s="9">
        <v>19377</v>
      </c>
      <c r="B679" s="9" t="s">
        <v>120</v>
      </c>
      <c r="C679" s="9" t="s">
        <v>351</v>
      </c>
      <c r="D679" s="23"/>
      <c r="E679" s="42"/>
      <c r="F679" s="43"/>
      <c r="G679" s="42"/>
      <c r="H679" s="43"/>
      <c r="I679" s="25" t="s">
        <v>15</v>
      </c>
      <c r="J679" s="34" t="str">
        <f>IF(E679="","",raw_data!C671)</f>
        <v/>
      </c>
      <c r="K679" s="46"/>
      <c r="L679" s="87"/>
      <c r="M679" s="19" t="str">
        <f>IF(E679="","",raw_data!F671)</f>
        <v/>
      </c>
      <c r="N679" s="20" t="str">
        <f t="shared" si="26"/>
        <v/>
      </c>
      <c r="O679" s="90"/>
      <c r="P679" s="91"/>
      <c r="Q679" s="91"/>
      <c r="R679" s="91"/>
      <c r="S679" s="41" t="str">
        <f t="shared" si="25"/>
        <v/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2.75" customHeight="1" x14ac:dyDescent="0.2">
      <c r="A680" s="9">
        <v>19378</v>
      </c>
      <c r="B680" s="9" t="s">
        <v>120</v>
      </c>
      <c r="C680" s="9" t="s">
        <v>352</v>
      </c>
      <c r="D680" s="23"/>
      <c r="E680" s="42"/>
      <c r="F680" s="43"/>
      <c r="G680" s="42"/>
      <c r="H680" s="43"/>
      <c r="I680" s="25" t="s">
        <v>15</v>
      </c>
      <c r="J680" s="34" t="str">
        <f>IF(E680="","",raw_data!C672)</f>
        <v/>
      </c>
      <c r="K680" s="46"/>
      <c r="L680" s="87"/>
      <c r="M680" s="19" t="str">
        <f>IF(E680="","",raw_data!F672)</f>
        <v/>
      </c>
      <c r="N680" s="20" t="str">
        <f t="shared" si="26"/>
        <v/>
      </c>
      <c r="O680" s="90"/>
      <c r="P680" s="91"/>
      <c r="Q680" s="91"/>
      <c r="R680" s="91"/>
      <c r="S680" s="41" t="str">
        <f t="shared" si="25"/>
        <v/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2.75" customHeight="1" x14ac:dyDescent="0.2">
      <c r="A681" s="9">
        <v>19379</v>
      </c>
      <c r="B681" s="9" t="s">
        <v>120</v>
      </c>
      <c r="C681" s="9" t="s">
        <v>353</v>
      </c>
      <c r="D681" s="23"/>
      <c r="E681" s="42"/>
      <c r="F681" s="43"/>
      <c r="G681" s="42"/>
      <c r="H681" s="43"/>
      <c r="I681" s="25" t="s">
        <v>15</v>
      </c>
      <c r="J681" s="34" t="str">
        <f>IF(E681="","",raw_data!C673)</f>
        <v/>
      </c>
      <c r="K681" s="46"/>
      <c r="L681" s="87"/>
      <c r="M681" s="19" t="str">
        <f>IF(E681="","",raw_data!F673)</f>
        <v/>
      </c>
      <c r="N681" s="20" t="str">
        <f t="shared" si="26"/>
        <v/>
      </c>
      <c r="O681" s="90"/>
      <c r="P681" s="91"/>
      <c r="Q681" s="91"/>
      <c r="R681" s="91"/>
      <c r="S681" s="41" t="str">
        <f t="shared" si="25"/>
        <v/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2.75" customHeight="1" x14ac:dyDescent="0.2">
      <c r="A682" s="9">
        <v>19380</v>
      </c>
      <c r="B682" s="9" t="s">
        <v>120</v>
      </c>
      <c r="C682" s="9" t="s">
        <v>354</v>
      </c>
      <c r="D682" s="23"/>
      <c r="E682" s="42"/>
      <c r="F682" s="43"/>
      <c r="G682" s="42"/>
      <c r="H682" s="43"/>
      <c r="I682" s="25" t="s">
        <v>15</v>
      </c>
      <c r="J682" s="34" t="str">
        <f>IF(E682="","",raw_data!C674)</f>
        <v/>
      </c>
      <c r="K682" s="46"/>
      <c r="L682" s="87"/>
      <c r="M682" s="19" t="str">
        <f>IF(E682="","",raw_data!F674)</f>
        <v/>
      </c>
      <c r="N682" s="20" t="str">
        <f t="shared" si="26"/>
        <v/>
      </c>
      <c r="O682" s="90"/>
      <c r="P682" s="91"/>
      <c r="Q682" s="91"/>
      <c r="R682" s="91"/>
      <c r="S682" s="41" t="str">
        <f t="shared" si="25"/>
        <v/>
      </c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2.75" customHeight="1" x14ac:dyDescent="0.2">
      <c r="A683" s="9">
        <v>19381</v>
      </c>
      <c r="B683" s="9" t="s">
        <v>120</v>
      </c>
      <c r="C683" s="9" t="s">
        <v>243</v>
      </c>
      <c r="D683" s="23"/>
      <c r="E683" s="42"/>
      <c r="F683" s="43"/>
      <c r="G683" s="42"/>
      <c r="H683" s="43"/>
      <c r="I683" s="25" t="s">
        <v>15</v>
      </c>
      <c r="J683" s="34" t="str">
        <f>IF(E683="","",raw_data!C675)</f>
        <v/>
      </c>
      <c r="K683" s="46"/>
      <c r="L683" s="87"/>
      <c r="M683" s="19" t="str">
        <f>IF(E683="","",raw_data!F675)</f>
        <v/>
      </c>
      <c r="N683" s="20" t="str">
        <f t="shared" si="26"/>
        <v/>
      </c>
      <c r="O683" s="90"/>
      <c r="P683" s="91"/>
      <c r="Q683" s="91"/>
      <c r="R683" s="91"/>
      <c r="S683" s="41" t="str">
        <f t="shared" si="25"/>
        <v/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2.75" customHeight="1" x14ac:dyDescent="0.2">
      <c r="A684" s="9">
        <v>19382</v>
      </c>
      <c r="B684" s="9" t="s">
        <v>120</v>
      </c>
      <c r="C684" s="9" t="s">
        <v>244</v>
      </c>
      <c r="D684" s="23"/>
      <c r="E684" s="42"/>
      <c r="F684" s="43"/>
      <c r="G684" s="42"/>
      <c r="H684" s="43"/>
      <c r="I684" s="25" t="s">
        <v>15</v>
      </c>
      <c r="J684" s="34" t="str">
        <f>IF(E684="","",raw_data!C676)</f>
        <v/>
      </c>
      <c r="K684" s="46"/>
      <c r="L684" s="87"/>
      <c r="M684" s="19" t="str">
        <f>IF(E684="","",raw_data!F676)</f>
        <v/>
      </c>
      <c r="N684" s="20" t="str">
        <f t="shared" si="26"/>
        <v/>
      </c>
      <c r="O684" s="90"/>
      <c r="P684" s="91"/>
      <c r="Q684" s="91"/>
      <c r="R684" s="91"/>
      <c r="S684" s="41" t="str">
        <f t="shared" si="25"/>
        <v/>
      </c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2.75" customHeight="1" x14ac:dyDescent="0.2">
      <c r="A685" s="9">
        <v>19383</v>
      </c>
      <c r="B685" s="9" t="s">
        <v>120</v>
      </c>
      <c r="C685" s="9" t="s">
        <v>245</v>
      </c>
      <c r="D685" s="23"/>
      <c r="E685" s="42"/>
      <c r="F685" s="43"/>
      <c r="G685" s="42"/>
      <c r="H685" s="43"/>
      <c r="I685" s="25" t="s">
        <v>15</v>
      </c>
      <c r="J685" s="34" t="str">
        <f>IF(E685="","",raw_data!C677)</f>
        <v/>
      </c>
      <c r="K685" s="46"/>
      <c r="L685" s="87"/>
      <c r="M685" s="19" t="str">
        <f>IF(E685="","",raw_data!F677)</f>
        <v/>
      </c>
      <c r="N685" s="20" t="str">
        <f t="shared" si="26"/>
        <v/>
      </c>
      <c r="O685" s="90"/>
      <c r="P685" s="91"/>
      <c r="Q685" s="91"/>
      <c r="R685" s="91"/>
      <c r="S685" s="41" t="str">
        <f t="shared" si="25"/>
        <v/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2.75" customHeight="1" x14ac:dyDescent="0.2">
      <c r="A686" s="9">
        <v>19384</v>
      </c>
      <c r="B686" s="9" t="s">
        <v>120</v>
      </c>
      <c r="C686" s="9" t="s">
        <v>78</v>
      </c>
      <c r="D686" s="23"/>
      <c r="E686" s="42"/>
      <c r="F686" s="43"/>
      <c r="G686" s="42"/>
      <c r="H686" s="43"/>
      <c r="I686" s="25" t="s">
        <v>15</v>
      </c>
      <c r="J686" s="34" t="str">
        <f>IF(E686="","",raw_data!C678)</f>
        <v/>
      </c>
      <c r="K686" s="46"/>
      <c r="L686" s="87"/>
      <c r="M686" s="19" t="str">
        <f>IF(E686="","",raw_data!F678)</f>
        <v/>
      </c>
      <c r="N686" s="20" t="str">
        <f t="shared" si="26"/>
        <v/>
      </c>
      <c r="O686" s="90"/>
      <c r="P686" s="91"/>
      <c r="Q686" s="91"/>
      <c r="R686" s="91"/>
      <c r="S686" s="41" t="str">
        <f t="shared" si="25"/>
        <v/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2.75" customHeight="1" x14ac:dyDescent="0.2">
      <c r="A687" s="9">
        <v>19385</v>
      </c>
      <c r="B687" s="9" t="s">
        <v>120</v>
      </c>
      <c r="C687" s="9" t="s">
        <v>162</v>
      </c>
      <c r="D687" s="23"/>
      <c r="E687" s="42"/>
      <c r="F687" s="43"/>
      <c r="G687" s="42"/>
      <c r="H687" s="43"/>
      <c r="I687" s="25" t="s">
        <v>15</v>
      </c>
      <c r="J687" s="34" t="str">
        <f>IF(E687="","",raw_data!C679)</f>
        <v/>
      </c>
      <c r="K687" s="46"/>
      <c r="L687" s="87"/>
      <c r="M687" s="19" t="str">
        <f>IF(E687="","",raw_data!F679)</f>
        <v/>
      </c>
      <c r="N687" s="20" t="str">
        <f t="shared" si="26"/>
        <v/>
      </c>
      <c r="O687" s="90"/>
      <c r="P687" s="91"/>
      <c r="Q687" s="91"/>
      <c r="R687" s="91"/>
      <c r="S687" s="41" t="str">
        <f t="shared" si="25"/>
        <v/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2.75" customHeight="1" x14ac:dyDescent="0.2">
      <c r="A688" s="9">
        <v>19386</v>
      </c>
      <c r="B688" s="9" t="s">
        <v>120</v>
      </c>
      <c r="C688" s="9" t="s">
        <v>289</v>
      </c>
      <c r="D688" s="23"/>
      <c r="E688" s="42"/>
      <c r="F688" s="43"/>
      <c r="G688" s="42"/>
      <c r="H688" s="43"/>
      <c r="I688" s="25" t="s">
        <v>15</v>
      </c>
      <c r="J688" s="34" t="str">
        <f>IF(E688="","",raw_data!C680)</f>
        <v/>
      </c>
      <c r="K688" s="46"/>
      <c r="L688" s="87"/>
      <c r="M688" s="19" t="str">
        <f>IF(E688="","",raw_data!F680)</f>
        <v/>
      </c>
      <c r="N688" s="20" t="str">
        <f t="shared" si="26"/>
        <v/>
      </c>
      <c r="O688" s="90"/>
      <c r="P688" s="91"/>
      <c r="Q688" s="91"/>
      <c r="R688" s="91"/>
      <c r="S688" s="41" t="str">
        <f t="shared" si="25"/>
        <v/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2.75" customHeight="1" x14ac:dyDescent="0.2">
      <c r="A689" s="9">
        <v>19387</v>
      </c>
      <c r="B689" s="9" t="s">
        <v>120</v>
      </c>
      <c r="C689" s="9" t="s">
        <v>113</v>
      </c>
      <c r="D689" s="23"/>
      <c r="E689" s="42"/>
      <c r="F689" s="43"/>
      <c r="G689" s="42"/>
      <c r="H689" s="43"/>
      <c r="I689" s="25" t="s">
        <v>15</v>
      </c>
      <c r="J689" s="34" t="str">
        <f>IF(E689="","",raw_data!C681)</f>
        <v/>
      </c>
      <c r="K689" s="46"/>
      <c r="L689" s="87"/>
      <c r="M689" s="19" t="str">
        <f>IF(E689="","",raw_data!F681)</f>
        <v/>
      </c>
      <c r="N689" s="20" t="str">
        <f t="shared" si="26"/>
        <v/>
      </c>
      <c r="O689" s="90"/>
      <c r="P689" s="91"/>
      <c r="Q689" s="91"/>
      <c r="R689" s="91"/>
      <c r="S689" s="41" t="str">
        <f t="shared" si="25"/>
        <v/>
      </c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2.75" customHeight="1" x14ac:dyDescent="0.2">
      <c r="A690" s="9">
        <v>19388</v>
      </c>
      <c r="B690" s="9" t="s">
        <v>120</v>
      </c>
      <c r="C690" s="9" t="s">
        <v>290</v>
      </c>
      <c r="D690" s="23"/>
      <c r="E690" s="42"/>
      <c r="F690" s="43"/>
      <c r="G690" s="42"/>
      <c r="H690" s="43"/>
      <c r="I690" s="25" t="s">
        <v>15</v>
      </c>
      <c r="J690" s="34" t="str">
        <f>IF(E690="","",raw_data!C682)</f>
        <v/>
      </c>
      <c r="K690" s="46"/>
      <c r="L690" s="87"/>
      <c r="M690" s="19" t="str">
        <f>IF(E690="","",raw_data!F682)</f>
        <v/>
      </c>
      <c r="N690" s="20" t="str">
        <f t="shared" si="26"/>
        <v/>
      </c>
      <c r="O690" s="90"/>
      <c r="P690" s="91"/>
      <c r="Q690" s="91"/>
      <c r="R690" s="91"/>
      <c r="S690" s="41" t="str">
        <f t="shared" si="25"/>
        <v/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2.75" customHeight="1" x14ac:dyDescent="0.2">
      <c r="A691" s="9">
        <v>19389</v>
      </c>
      <c r="B691" s="9" t="s">
        <v>120</v>
      </c>
      <c r="C691" s="9" t="s">
        <v>355</v>
      </c>
      <c r="D691" s="23"/>
      <c r="E691" s="42"/>
      <c r="F691" s="43"/>
      <c r="G691" s="42"/>
      <c r="H691" s="43"/>
      <c r="I691" s="25" t="s">
        <v>15</v>
      </c>
      <c r="J691" s="34" t="str">
        <f>IF(E691="","",raw_data!C683)</f>
        <v/>
      </c>
      <c r="K691" s="46"/>
      <c r="L691" s="87"/>
      <c r="M691" s="19" t="str">
        <f>IF(E691="","",raw_data!F683)</f>
        <v/>
      </c>
      <c r="N691" s="20" t="str">
        <f t="shared" si="26"/>
        <v/>
      </c>
      <c r="O691" s="90"/>
      <c r="P691" s="91"/>
      <c r="Q691" s="91"/>
      <c r="R691" s="91"/>
      <c r="S691" s="41" t="str">
        <f t="shared" si="25"/>
        <v/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2.75" customHeight="1" x14ac:dyDescent="0.2">
      <c r="A692" s="9">
        <v>19390</v>
      </c>
      <c r="B692" s="9" t="s">
        <v>120</v>
      </c>
      <c r="C692" s="9" t="s">
        <v>356</v>
      </c>
      <c r="D692" s="23"/>
      <c r="E692" s="42"/>
      <c r="F692" s="43"/>
      <c r="G692" s="42"/>
      <c r="H692" s="43"/>
      <c r="I692" s="25" t="s">
        <v>15</v>
      </c>
      <c r="J692" s="34" t="str">
        <f>IF(E692="","",raw_data!C684)</f>
        <v/>
      </c>
      <c r="K692" s="46"/>
      <c r="L692" s="87"/>
      <c r="M692" s="19" t="str">
        <f>IF(E692="","",raw_data!F684)</f>
        <v/>
      </c>
      <c r="N692" s="20" t="str">
        <f t="shared" si="26"/>
        <v/>
      </c>
      <c r="O692" s="90"/>
      <c r="P692" s="91"/>
      <c r="Q692" s="91"/>
      <c r="R692" s="91"/>
      <c r="S692" s="41" t="str">
        <f t="shared" si="25"/>
        <v/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2.75" customHeight="1" x14ac:dyDescent="0.2">
      <c r="A693" s="9">
        <v>19391</v>
      </c>
      <c r="B693" s="9" t="s">
        <v>120</v>
      </c>
      <c r="C693" s="9" t="s">
        <v>357</v>
      </c>
      <c r="D693" s="23"/>
      <c r="E693" s="42"/>
      <c r="F693" s="43"/>
      <c r="G693" s="42"/>
      <c r="H693" s="43"/>
      <c r="I693" s="25" t="s">
        <v>15</v>
      </c>
      <c r="J693" s="34" t="str">
        <f>IF(E693="","",raw_data!C685)</f>
        <v/>
      </c>
      <c r="K693" s="46"/>
      <c r="L693" s="87"/>
      <c r="M693" s="19" t="str">
        <f>IF(E693="","",raw_data!F685)</f>
        <v/>
      </c>
      <c r="N693" s="20" t="str">
        <f t="shared" si="26"/>
        <v/>
      </c>
      <c r="O693" s="90"/>
      <c r="P693" s="91"/>
      <c r="Q693" s="91"/>
      <c r="R693" s="91"/>
      <c r="S693" s="41" t="str">
        <f t="shared" si="25"/>
        <v/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2.75" customHeight="1" x14ac:dyDescent="0.2">
      <c r="A694" s="9">
        <v>19392</v>
      </c>
      <c r="B694" s="9" t="s">
        <v>120</v>
      </c>
      <c r="C694" s="9" t="s">
        <v>358</v>
      </c>
      <c r="D694" s="23"/>
      <c r="E694" s="42"/>
      <c r="F694" s="43"/>
      <c r="G694" s="42"/>
      <c r="H694" s="43"/>
      <c r="I694" s="25" t="s">
        <v>15</v>
      </c>
      <c r="J694" s="34" t="str">
        <f>IF(E694="","",raw_data!C686)</f>
        <v/>
      </c>
      <c r="K694" s="46"/>
      <c r="L694" s="87"/>
      <c r="M694" s="19" t="str">
        <f>IF(E694="","",raw_data!F686)</f>
        <v/>
      </c>
      <c r="N694" s="20" t="str">
        <f t="shared" si="26"/>
        <v/>
      </c>
      <c r="O694" s="90"/>
      <c r="P694" s="91"/>
      <c r="Q694" s="91"/>
      <c r="R694" s="91"/>
      <c r="S694" s="41" t="str">
        <f t="shared" si="25"/>
        <v/>
      </c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2.75" customHeight="1" x14ac:dyDescent="0.2">
      <c r="A695" s="9">
        <v>19393</v>
      </c>
      <c r="B695" s="9" t="s">
        <v>120</v>
      </c>
      <c r="C695" s="9" t="s">
        <v>359</v>
      </c>
      <c r="D695" s="23"/>
      <c r="E695" s="42"/>
      <c r="F695" s="43"/>
      <c r="G695" s="42"/>
      <c r="H695" s="43"/>
      <c r="I695" s="25" t="s">
        <v>15</v>
      </c>
      <c r="J695" s="34" t="str">
        <f>IF(E695="","",raw_data!C687)</f>
        <v/>
      </c>
      <c r="K695" s="46"/>
      <c r="L695" s="87"/>
      <c r="M695" s="19" t="str">
        <f>IF(E695="","",raw_data!F687)</f>
        <v/>
      </c>
      <c r="N695" s="20" t="str">
        <f t="shared" si="26"/>
        <v/>
      </c>
      <c r="O695" s="90"/>
      <c r="P695" s="91"/>
      <c r="Q695" s="91"/>
      <c r="R695" s="91"/>
      <c r="S695" s="41" t="str">
        <f t="shared" si="25"/>
        <v/>
      </c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2.75" customHeight="1" x14ac:dyDescent="0.2">
      <c r="A696" s="9">
        <v>19394</v>
      </c>
      <c r="B696" s="9" t="s">
        <v>120</v>
      </c>
      <c r="C696" s="9" t="s">
        <v>360</v>
      </c>
      <c r="D696" s="23"/>
      <c r="E696" s="42"/>
      <c r="F696" s="43"/>
      <c r="G696" s="42"/>
      <c r="H696" s="43"/>
      <c r="I696" s="25" t="s">
        <v>15</v>
      </c>
      <c r="J696" s="34" t="str">
        <f>IF(E696="","",raw_data!C688)</f>
        <v/>
      </c>
      <c r="K696" s="46"/>
      <c r="L696" s="87"/>
      <c r="M696" s="19" t="str">
        <f>IF(E696="","",raw_data!F688)</f>
        <v/>
      </c>
      <c r="N696" s="20" t="str">
        <f t="shared" si="26"/>
        <v/>
      </c>
      <c r="O696" s="90"/>
      <c r="P696" s="91"/>
      <c r="Q696" s="91"/>
      <c r="R696" s="91"/>
      <c r="S696" s="41" t="str">
        <f t="shared" si="25"/>
        <v/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2.75" customHeight="1" x14ac:dyDescent="0.2">
      <c r="A697" s="9">
        <v>19395</v>
      </c>
      <c r="B697" s="9" t="s">
        <v>120</v>
      </c>
      <c r="C697" s="9" t="s">
        <v>361</v>
      </c>
      <c r="D697" s="23"/>
      <c r="E697" s="42"/>
      <c r="F697" s="43"/>
      <c r="G697" s="42"/>
      <c r="H697" s="43"/>
      <c r="I697" s="25" t="s">
        <v>15</v>
      </c>
      <c r="J697" s="34" t="str">
        <f>IF(E697="","",raw_data!C689)</f>
        <v/>
      </c>
      <c r="K697" s="46"/>
      <c r="L697" s="87"/>
      <c r="M697" s="19" t="str">
        <f>IF(E697="","",raw_data!F689)</f>
        <v/>
      </c>
      <c r="N697" s="20" t="str">
        <f t="shared" si="26"/>
        <v/>
      </c>
      <c r="O697" s="90"/>
      <c r="P697" s="91"/>
      <c r="Q697" s="91"/>
      <c r="R697" s="91"/>
      <c r="S697" s="41" t="str">
        <f t="shared" si="25"/>
        <v/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2.75" customHeight="1" x14ac:dyDescent="0.2">
      <c r="A698" s="9">
        <v>19396</v>
      </c>
      <c r="B698" s="9" t="s">
        <v>120</v>
      </c>
      <c r="C698" s="9" t="s">
        <v>362</v>
      </c>
      <c r="D698" s="23"/>
      <c r="E698" s="42"/>
      <c r="F698" s="43"/>
      <c r="G698" s="42"/>
      <c r="H698" s="43"/>
      <c r="I698" s="25" t="s">
        <v>15</v>
      </c>
      <c r="J698" s="34" t="str">
        <f>IF(E698="","",raw_data!C690)</f>
        <v/>
      </c>
      <c r="K698" s="46"/>
      <c r="L698" s="87"/>
      <c r="M698" s="19" t="str">
        <f>IF(E698="","",raw_data!F690)</f>
        <v/>
      </c>
      <c r="N698" s="20" t="str">
        <f t="shared" si="26"/>
        <v/>
      </c>
      <c r="O698" s="90"/>
      <c r="P698" s="91"/>
      <c r="Q698" s="91"/>
      <c r="R698" s="91"/>
      <c r="S698" s="41" t="str">
        <f t="shared" si="25"/>
        <v/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2.75" customHeight="1" x14ac:dyDescent="0.2">
      <c r="A699" s="9">
        <v>19397</v>
      </c>
      <c r="B699" s="9" t="s">
        <v>120</v>
      </c>
      <c r="C699" s="9" t="s">
        <v>363</v>
      </c>
      <c r="D699" s="23"/>
      <c r="E699" s="42"/>
      <c r="F699" s="43"/>
      <c r="G699" s="42"/>
      <c r="H699" s="43"/>
      <c r="I699" s="25" t="s">
        <v>15</v>
      </c>
      <c r="J699" s="34" t="str">
        <f>IF(E699="","",raw_data!C691)</f>
        <v/>
      </c>
      <c r="K699" s="46"/>
      <c r="L699" s="87"/>
      <c r="M699" s="19" t="str">
        <f>IF(E699="","",raw_data!F691)</f>
        <v/>
      </c>
      <c r="N699" s="20" t="str">
        <f t="shared" si="26"/>
        <v/>
      </c>
      <c r="O699" s="90"/>
      <c r="P699" s="91"/>
      <c r="Q699" s="91"/>
      <c r="R699" s="91"/>
      <c r="S699" s="41" t="str">
        <f t="shared" si="25"/>
        <v/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2.75" customHeight="1" x14ac:dyDescent="0.2">
      <c r="A700" s="9">
        <v>19398</v>
      </c>
      <c r="B700" s="9" t="s">
        <v>120</v>
      </c>
      <c r="C700" s="9" t="s">
        <v>121</v>
      </c>
      <c r="D700" s="23"/>
      <c r="E700" s="42">
        <v>1</v>
      </c>
      <c r="F700" s="43"/>
      <c r="G700" s="42" t="s">
        <v>155</v>
      </c>
      <c r="H700" s="43"/>
      <c r="I700" s="25" t="s">
        <v>15</v>
      </c>
      <c r="J700" s="34">
        <f>IF(E700="","",raw_data!C692)</f>
        <v>0</v>
      </c>
      <c r="K700" s="46"/>
      <c r="L700" s="87"/>
      <c r="M700" s="19">
        <f>IF(E700="","",raw_data!F692)</f>
        <v>0</v>
      </c>
      <c r="N700" s="20" t="str">
        <f t="shared" si="26"/>
        <v>-</v>
      </c>
      <c r="O700" s="90"/>
      <c r="P700" s="91"/>
      <c r="Q700" s="91"/>
      <c r="R700" s="91"/>
      <c r="S700" s="41" t="str">
        <f t="shared" si="25"/>
        <v>erfüllt</v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2.75" customHeight="1" x14ac:dyDescent="0.2">
      <c r="A701" s="9">
        <v>19399</v>
      </c>
      <c r="B701" s="9" t="s">
        <v>120</v>
      </c>
      <c r="C701" s="9" t="s">
        <v>122</v>
      </c>
      <c r="D701" s="23"/>
      <c r="E701" s="42">
        <v>1</v>
      </c>
      <c r="F701" s="43"/>
      <c r="G701" s="42" t="s">
        <v>155</v>
      </c>
      <c r="H701" s="43"/>
      <c r="I701" s="25" t="s">
        <v>15</v>
      </c>
      <c r="J701" s="34">
        <f>IF(E701="","",raw_data!C693)</f>
        <v>0</v>
      </c>
      <c r="K701" s="46"/>
      <c r="L701" s="87"/>
      <c r="M701" s="19">
        <f>IF(E701="","",raw_data!F693)</f>
        <v>0</v>
      </c>
      <c r="N701" s="20" t="str">
        <f t="shared" si="26"/>
        <v>-</v>
      </c>
      <c r="O701" s="90"/>
      <c r="P701" s="91"/>
      <c r="Q701" s="91"/>
      <c r="R701" s="91"/>
      <c r="S701" s="41" t="str">
        <f t="shared" si="25"/>
        <v>erfüllt</v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2.75" customHeight="1" x14ac:dyDescent="0.2">
      <c r="A702" s="9">
        <v>19400</v>
      </c>
      <c r="B702" s="9" t="s">
        <v>120</v>
      </c>
      <c r="C702" s="9" t="s">
        <v>270</v>
      </c>
      <c r="D702" s="23"/>
      <c r="E702" s="42"/>
      <c r="F702" s="43"/>
      <c r="G702" s="42"/>
      <c r="H702" s="43"/>
      <c r="I702" s="25" t="s">
        <v>15</v>
      </c>
      <c r="J702" s="34" t="str">
        <f>IF(E702="","",raw_data!C694)</f>
        <v/>
      </c>
      <c r="K702" s="46"/>
      <c r="L702" s="87"/>
      <c r="M702" s="19" t="str">
        <f>IF(E702="","",raw_data!F694)</f>
        <v/>
      </c>
      <c r="N702" s="20" t="str">
        <f t="shared" si="26"/>
        <v/>
      </c>
      <c r="O702" s="90"/>
      <c r="P702" s="91"/>
      <c r="Q702" s="91"/>
      <c r="R702" s="91"/>
      <c r="S702" s="41" t="str">
        <f t="shared" si="25"/>
        <v/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2.75" customHeight="1" x14ac:dyDescent="0.2">
      <c r="A703" s="9">
        <v>19401</v>
      </c>
      <c r="B703" s="9" t="s">
        <v>120</v>
      </c>
      <c r="C703" s="9" t="s">
        <v>271</v>
      </c>
      <c r="D703" s="23"/>
      <c r="E703" s="42"/>
      <c r="F703" s="43"/>
      <c r="G703" s="42"/>
      <c r="H703" s="43"/>
      <c r="I703" s="25" t="s">
        <v>15</v>
      </c>
      <c r="J703" s="34" t="str">
        <f>IF(E703="","",raw_data!C695)</f>
        <v/>
      </c>
      <c r="K703" s="46"/>
      <c r="L703" s="87"/>
      <c r="M703" s="19" t="str">
        <f>IF(E703="","",raw_data!F695)</f>
        <v/>
      </c>
      <c r="N703" s="20" t="str">
        <f t="shared" si="26"/>
        <v/>
      </c>
      <c r="O703" s="90"/>
      <c r="P703" s="91"/>
      <c r="Q703" s="91"/>
      <c r="R703" s="91"/>
      <c r="S703" s="41" t="str">
        <f t="shared" si="25"/>
        <v/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2.75" customHeight="1" x14ac:dyDescent="0.2">
      <c r="A704" s="9">
        <v>19402</v>
      </c>
      <c r="B704" s="9" t="s">
        <v>120</v>
      </c>
      <c r="C704" s="9" t="s">
        <v>444</v>
      </c>
      <c r="D704" s="23"/>
      <c r="E704" s="42"/>
      <c r="F704" s="43"/>
      <c r="G704" s="42"/>
      <c r="H704" s="43"/>
      <c r="I704" s="25" t="s">
        <v>15</v>
      </c>
      <c r="J704" s="34" t="str">
        <f>IF(E704="","",raw_data!C696)</f>
        <v/>
      </c>
      <c r="K704" s="46"/>
      <c r="L704" s="87"/>
      <c r="M704" s="19" t="str">
        <f>IF(E704="","",raw_data!F696)</f>
        <v/>
      </c>
      <c r="N704" s="20" t="str">
        <f t="shared" si="26"/>
        <v/>
      </c>
      <c r="O704" s="90"/>
      <c r="P704" s="91"/>
      <c r="Q704" s="91"/>
      <c r="R704" s="91"/>
      <c r="S704" s="41" t="str">
        <f t="shared" si="25"/>
        <v/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2.75" customHeight="1" x14ac:dyDescent="0.2">
      <c r="A705" s="9">
        <v>19403</v>
      </c>
      <c r="B705" s="9" t="s">
        <v>120</v>
      </c>
      <c r="C705" s="9" t="s">
        <v>246</v>
      </c>
      <c r="D705" s="23"/>
      <c r="E705" s="42"/>
      <c r="F705" s="43"/>
      <c r="G705" s="42"/>
      <c r="H705" s="43"/>
      <c r="I705" s="25" t="s">
        <v>15</v>
      </c>
      <c r="J705" s="34" t="str">
        <f>IF(E705="","",raw_data!C697)</f>
        <v/>
      </c>
      <c r="K705" s="46"/>
      <c r="L705" s="87"/>
      <c r="M705" s="19" t="str">
        <f>IF(E705="","",raw_data!F697)</f>
        <v/>
      </c>
      <c r="N705" s="20" t="str">
        <f t="shared" si="26"/>
        <v/>
      </c>
      <c r="O705" s="90"/>
      <c r="P705" s="91"/>
      <c r="Q705" s="91"/>
      <c r="R705" s="91"/>
      <c r="S705" s="41" t="str">
        <f t="shared" si="25"/>
        <v/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2.75" customHeight="1" x14ac:dyDescent="0.2">
      <c r="A706" s="9">
        <v>19404</v>
      </c>
      <c r="B706" s="9" t="s">
        <v>120</v>
      </c>
      <c r="C706" s="9" t="s">
        <v>247</v>
      </c>
      <c r="D706" s="23"/>
      <c r="E706" s="42"/>
      <c r="F706" s="43"/>
      <c r="G706" s="42"/>
      <c r="H706" s="43"/>
      <c r="I706" s="25" t="s">
        <v>15</v>
      </c>
      <c r="J706" s="34" t="str">
        <f>IF(E706="","",raw_data!C698)</f>
        <v/>
      </c>
      <c r="K706" s="46"/>
      <c r="L706" s="87"/>
      <c r="M706" s="19" t="str">
        <f>IF(E706="","",raw_data!F698)</f>
        <v/>
      </c>
      <c r="N706" s="20" t="str">
        <f t="shared" si="26"/>
        <v/>
      </c>
      <c r="O706" s="90"/>
      <c r="P706" s="91"/>
      <c r="Q706" s="91"/>
      <c r="R706" s="91"/>
      <c r="S706" s="41" t="str">
        <f t="shared" si="25"/>
        <v/>
      </c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2.75" customHeight="1" x14ac:dyDescent="0.2">
      <c r="A707" s="9">
        <v>19405</v>
      </c>
      <c r="B707" s="9" t="s">
        <v>120</v>
      </c>
      <c r="C707" s="9" t="s">
        <v>248</v>
      </c>
      <c r="D707" s="23"/>
      <c r="E707" s="42"/>
      <c r="F707" s="43"/>
      <c r="G707" s="42"/>
      <c r="H707" s="43"/>
      <c r="I707" s="25" t="s">
        <v>15</v>
      </c>
      <c r="J707" s="34" t="str">
        <f>IF(E707="","",raw_data!C699)</f>
        <v/>
      </c>
      <c r="K707" s="46"/>
      <c r="L707" s="87"/>
      <c r="M707" s="19" t="str">
        <f>IF(E707="","",raw_data!F699)</f>
        <v/>
      </c>
      <c r="N707" s="20" t="str">
        <f t="shared" si="26"/>
        <v/>
      </c>
      <c r="O707" s="90"/>
      <c r="P707" s="91"/>
      <c r="Q707" s="91"/>
      <c r="R707" s="91"/>
      <c r="S707" s="41" t="str">
        <f t="shared" si="25"/>
        <v/>
      </c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2.75" customHeight="1" x14ac:dyDescent="0.2">
      <c r="A708" s="9">
        <v>19406</v>
      </c>
      <c r="B708" s="9" t="s">
        <v>120</v>
      </c>
      <c r="C708" s="9" t="s">
        <v>9</v>
      </c>
      <c r="D708" s="23"/>
      <c r="E708" s="42">
        <v>1</v>
      </c>
      <c r="F708" s="43"/>
      <c r="G708" s="42" t="s">
        <v>155</v>
      </c>
      <c r="H708" s="43"/>
      <c r="I708" s="25" t="s">
        <v>15</v>
      </c>
      <c r="J708" s="34">
        <f>IF(E708="","",raw_data!C700)</f>
        <v>0</v>
      </c>
      <c r="K708" s="46"/>
      <c r="L708" s="87"/>
      <c r="M708" s="19">
        <f>IF(E708="","",raw_data!F700)</f>
        <v>0</v>
      </c>
      <c r="N708" s="20" t="str">
        <f t="shared" si="26"/>
        <v>-</v>
      </c>
      <c r="O708" s="90"/>
      <c r="P708" s="91"/>
      <c r="Q708" s="91"/>
      <c r="R708" s="91"/>
      <c r="S708" s="41" t="str">
        <f t="shared" si="25"/>
        <v>erfüllt</v>
      </c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2.75" customHeight="1" x14ac:dyDescent="0.2">
      <c r="A709" s="9">
        <v>19407</v>
      </c>
      <c r="B709" s="9" t="s">
        <v>120</v>
      </c>
      <c r="C709" s="9" t="s">
        <v>241</v>
      </c>
      <c r="D709" s="23"/>
      <c r="E709" s="42">
        <v>1</v>
      </c>
      <c r="F709" s="43"/>
      <c r="G709" s="42" t="s">
        <v>155</v>
      </c>
      <c r="H709" s="43"/>
      <c r="I709" s="25" t="s">
        <v>15</v>
      </c>
      <c r="J709" s="34">
        <f>IF(E709="","",raw_data!C701)</f>
        <v>0</v>
      </c>
      <c r="K709" s="46"/>
      <c r="L709" s="87"/>
      <c r="M709" s="19">
        <f>IF(E709="","",raw_data!F701)</f>
        <v>0</v>
      </c>
      <c r="N709" s="20" t="str">
        <f t="shared" si="26"/>
        <v>-</v>
      </c>
      <c r="O709" s="90"/>
      <c r="P709" s="91"/>
      <c r="Q709" s="91"/>
      <c r="R709" s="91"/>
      <c r="S709" s="41" t="str">
        <f t="shared" si="25"/>
        <v>erfüllt</v>
      </c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2.75" customHeight="1" x14ac:dyDescent="0.2">
      <c r="A710" s="9">
        <v>19408</v>
      </c>
      <c r="B710" s="9" t="s">
        <v>120</v>
      </c>
      <c r="C710" s="9" t="s">
        <v>291</v>
      </c>
      <c r="D710" s="23"/>
      <c r="E710" s="42">
        <v>1</v>
      </c>
      <c r="F710" s="43"/>
      <c r="G710" s="42" t="s">
        <v>155</v>
      </c>
      <c r="H710" s="43"/>
      <c r="I710" s="25" t="s">
        <v>15</v>
      </c>
      <c r="J710" s="34">
        <f>IF(E710="","",raw_data!C702)</f>
        <v>0</v>
      </c>
      <c r="K710" s="46"/>
      <c r="L710" s="87"/>
      <c r="M710" s="19">
        <f>IF(E710="","",raw_data!F702)</f>
        <v>0</v>
      </c>
      <c r="N710" s="20" t="str">
        <f t="shared" si="26"/>
        <v>-</v>
      </c>
      <c r="O710" s="90"/>
      <c r="P710" s="91"/>
      <c r="Q710" s="91"/>
      <c r="R710" s="91"/>
      <c r="S710" s="41" t="str">
        <f t="shared" si="25"/>
        <v>erfüllt</v>
      </c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2.75" customHeight="1" x14ac:dyDescent="0.2">
      <c r="A711" s="9">
        <v>19409</v>
      </c>
      <c r="B711" s="9" t="s">
        <v>120</v>
      </c>
      <c r="C711" s="9" t="s">
        <v>114</v>
      </c>
      <c r="D711" s="23"/>
      <c r="E711" s="42">
        <v>1</v>
      </c>
      <c r="F711" s="43"/>
      <c r="G711" s="42" t="s">
        <v>155</v>
      </c>
      <c r="H711" s="43"/>
      <c r="I711" s="25" t="s">
        <v>15</v>
      </c>
      <c r="J711" s="34">
        <f>IF(E711="","",raw_data!C703)</f>
        <v>0</v>
      </c>
      <c r="K711" s="46"/>
      <c r="L711" s="87"/>
      <c r="M711" s="19">
        <f>IF(E711="","",raw_data!F703)</f>
        <v>0</v>
      </c>
      <c r="N711" s="20" t="str">
        <f t="shared" si="26"/>
        <v>-</v>
      </c>
      <c r="O711" s="90"/>
      <c r="P711" s="91"/>
      <c r="Q711" s="91"/>
      <c r="R711" s="91"/>
      <c r="S711" s="41" t="str">
        <f t="shared" si="25"/>
        <v>erfüllt</v>
      </c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2.75" customHeight="1" x14ac:dyDescent="0.2">
      <c r="A712" s="9">
        <v>19410</v>
      </c>
      <c r="B712" s="9" t="s">
        <v>120</v>
      </c>
      <c r="C712" s="9" t="s">
        <v>292</v>
      </c>
      <c r="D712" s="23"/>
      <c r="E712" s="42">
        <v>1</v>
      </c>
      <c r="F712" s="43"/>
      <c r="G712" s="42" t="s">
        <v>155</v>
      </c>
      <c r="H712" s="43"/>
      <c r="I712" s="25" t="s">
        <v>15</v>
      </c>
      <c r="J712" s="34">
        <f>IF(E712="","",raw_data!C704)</f>
        <v>0</v>
      </c>
      <c r="K712" s="46"/>
      <c r="L712" s="87"/>
      <c r="M712" s="19">
        <f>IF(E712="","",raw_data!F704)</f>
        <v>0</v>
      </c>
      <c r="N712" s="20" t="str">
        <f t="shared" si="26"/>
        <v>-</v>
      </c>
      <c r="O712" s="90"/>
      <c r="P712" s="91"/>
      <c r="Q712" s="91"/>
      <c r="R712" s="91"/>
      <c r="S712" s="41" t="str">
        <f t="shared" si="25"/>
        <v>erfüllt</v>
      </c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2.75" customHeight="1" x14ac:dyDescent="0.2">
      <c r="A713" s="9">
        <v>19411</v>
      </c>
      <c r="B713" s="9" t="s">
        <v>120</v>
      </c>
      <c r="C713" s="9" t="s">
        <v>109</v>
      </c>
      <c r="D713" s="23"/>
      <c r="E713" s="42">
        <v>1</v>
      </c>
      <c r="F713" s="43"/>
      <c r="G713" s="42" t="s">
        <v>155</v>
      </c>
      <c r="H713" s="43"/>
      <c r="I713" s="25" t="s">
        <v>15</v>
      </c>
      <c r="J713" s="34">
        <f>IF(E713="","",raw_data!C705)</f>
        <v>0</v>
      </c>
      <c r="K713" s="46"/>
      <c r="L713" s="87"/>
      <c r="M713" s="19">
        <f>IF(E713="","",raw_data!F705)</f>
        <v>0</v>
      </c>
      <c r="N713" s="20" t="str">
        <f t="shared" si="26"/>
        <v>-</v>
      </c>
      <c r="O713" s="90"/>
      <c r="P713" s="91"/>
      <c r="Q713" s="91"/>
      <c r="R713" s="91"/>
      <c r="S713" s="41" t="str">
        <f t="shared" si="25"/>
        <v>erfüllt</v>
      </c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2.75" customHeight="1" x14ac:dyDescent="0.2">
      <c r="A714" s="9">
        <v>19412</v>
      </c>
      <c r="B714" s="9" t="s">
        <v>120</v>
      </c>
      <c r="C714" s="9" t="s">
        <v>79</v>
      </c>
      <c r="D714" s="23"/>
      <c r="E714" s="42"/>
      <c r="F714" s="43"/>
      <c r="G714" s="42"/>
      <c r="H714" s="43"/>
      <c r="I714" s="25" t="s">
        <v>15</v>
      </c>
      <c r="J714" s="34" t="str">
        <f>IF(E714="","",raw_data!C706)</f>
        <v/>
      </c>
      <c r="K714" s="46"/>
      <c r="L714" s="87"/>
      <c r="M714" s="19" t="str">
        <f>IF(E714="","",raw_data!F706)</f>
        <v/>
      </c>
      <c r="N714" s="20" t="str">
        <f t="shared" si="26"/>
        <v/>
      </c>
      <c r="O714" s="90"/>
      <c r="P714" s="91"/>
      <c r="Q714" s="91"/>
      <c r="R714" s="91"/>
      <c r="S714" s="41" t="str">
        <f t="shared" ref="S714:S777" si="27">IF(E714="","",IF(OR(NOT(ISNUMBER(N714)),N714&lt;=(1-E714)),"erfüllt",IF(G714="Fehler","mit Fehler",IF(G714="Warnung","mit Warnung",""))))</f>
        <v/>
      </c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2.75" customHeight="1" x14ac:dyDescent="0.2">
      <c r="A715" s="9">
        <v>19413</v>
      </c>
      <c r="B715" s="9" t="s">
        <v>120</v>
      </c>
      <c r="C715" s="9" t="s">
        <v>220</v>
      </c>
      <c r="D715" s="23"/>
      <c r="E715" s="42"/>
      <c r="F715" s="43"/>
      <c r="G715" s="42"/>
      <c r="H715" s="43"/>
      <c r="I715" s="25" t="s">
        <v>15</v>
      </c>
      <c r="J715" s="34" t="str">
        <f>IF(E715="","",raw_data!C707)</f>
        <v/>
      </c>
      <c r="K715" s="46"/>
      <c r="L715" s="87"/>
      <c r="M715" s="19" t="str">
        <f>IF(E715="","",raw_data!F707)</f>
        <v/>
      </c>
      <c r="N715" s="20" t="str">
        <f t="shared" ref="N715:N778" si="28">IF(E715="","",IFERROR(M715/J715,"-"))</f>
        <v/>
      </c>
      <c r="O715" s="90"/>
      <c r="P715" s="91"/>
      <c r="Q715" s="91"/>
      <c r="R715" s="91"/>
      <c r="S715" s="41" t="str">
        <f t="shared" si="27"/>
        <v/>
      </c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2.75" customHeight="1" x14ac:dyDescent="0.2">
      <c r="A716" s="9">
        <v>19414</v>
      </c>
      <c r="B716" s="9" t="s">
        <v>120</v>
      </c>
      <c r="C716" s="9" t="s">
        <v>103</v>
      </c>
      <c r="D716" s="23"/>
      <c r="E716" s="42"/>
      <c r="F716" s="43"/>
      <c r="G716" s="42"/>
      <c r="H716" s="43"/>
      <c r="I716" s="25" t="s">
        <v>15</v>
      </c>
      <c r="J716" s="34" t="str">
        <f>IF(E716="","",raw_data!C708)</f>
        <v/>
      </c>
      <c r="K716" s="46"/>
      <c r="L716" s="87"/>
      <c r="M716" s="19" t="str">
        <f>IF(E716="","",raw_data!F708)</f>
        <v/>
      </c>
      <c r="N716" s="20" t="str">
        <f t="shared" si="28"/>
        <v/>
      </c>
      <c r="O716" s="90"/>
      <c r="P716" s="91"/>
      <c r="Q716" s="91"/>
      <c r="R716" s="91"/>
      <c r="S716" s="41" t="str">
        <f t="shared" si="27"/>
        <v/>
      </c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2.75" customHeight="1" x14ac:dyDescent="0.2">
      <c r="A717" s="9">
        <v>19415</v>
      </c>
      <c r="B717" s="9" t="s">
        <v>120</v>
      </c>
      <c r="C717" s="9" t="s">
        <v>242</v>
      </c>
      <c r="D717" s="23"/>
      <c r="E717" s="42"/>
      <c r="F717" s="43"/>
      <c r="G717" s="42"/>
      <c r="H717" s="43"/>
      <c r="I717" s="25" t="s">
        <v>15</v>
      </c>
      <c r="J717" s="34" t="str">
        <f>IF(E717="","",raw_data!C709)</f>
        <v/>
      </c>
      <c r="K717" s="46"/>
      <c r="L717" s="87"/>
      <c r="M717" s="19" t="str">
        <f>IF(E717="","",raw_data!F709)</f>
        <v/>
      </c>
      <c r="N717" s="20" t="str">
        <f t="shared" si="28"/>
        <v/>
      </c>
      <c r="O717" s="90"/>
      <c r="P717" s="91"/>
      <c r="Q717" s="91"/>
      <c r="R717" s="91"/>
      <c r="S717" s="41" t="str">
        <f t="shared" si="27"/>
        <v/>
      </c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2.75" customHeight="1" x14ac:dyDescent="0.2">
      <c r="A718" s="9">
        <v>19416</v>
      </c>
      <c r="B718" s="9" t="s">
        <v>120</v>
      </c>
      <c r="C718" s="9" t="s">
        <v>80</v>
      </c>
      <c r="D718" s="23"/>
      <c r="E718" s="42"/>
      <c r="F718" s="43"/>
      <c r="G718" s="42"/>
      <c r="H718" s="43"/>
      <c r="I718" s="25" t="s">
        <v>15</v>
      </c>
      <c r="J718" s="34" t="str">
        <f>IF(E718="","",raw_data!C710)</f>
        <v/>
      </c>
      <c r="K718" s="46"/>
      <c r="L718" s="87"/>
      <c r="M718" s="19" t="str">
        <f>IF(E718="","",raw_data!F710)</f>
        <v/>
      </c>
      <c r="N718" s="20" t="str">
        <f t="shared" si="28"/>
        <v/>
      </c>
      <c r="O718" s="90"/>
      <c r="P718" s="91"/>
      <c r="Q718" s="91"/>
      <c r="R718" s="91"/>
      <c r="S718" s="41" t="str">
        <f t="shared" si="27"/>
        <v/>
      </c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2.75" customHeight="1" x14ac:dyDescent="0.2">
      <c r="A719" s="9">
        <v>19417</v>
      </c>
      <c r="B719" s="9" t="s">
        <v>120</v>
      </c>
      <c r="C719" s="9" t="s">
        <v>104</v>
      </c>
      <c r="D719" s="23"/>
      <c r="E719" s="42">
        <v>1</v>
      </c>
      <c r="F719" s="43"/>
      <c r="G719" s="42" t="s">
        <v>155</v>
      </c>
      <c r="H719" s="43"/>
      <c r="I719" s="25" t="s">
        <v>15</v>
      </c>
      <c r="J719" s="34">
        <f>IF(E719="","",raw_data!C711)</f>
        <v>0</v>
      </c>
      <c r="K719" s="46"/>
      <c r="L719" s="87"/>
      <c r="M719" s="19">
        <f>IF(E719="","",raw_data!F711)</f>
        <v>0</v>
      </c>
      <c r="N719" s="20" t="str">
        <f t="shared" si="28"/>
        <v>-</v>
      </c>
      <c r="O719" s="90"/>
      <c r="P719" s="91"/>
      <c r="Q719" s="91"/>
      <c r="R719" s="91"/>
      <c r="S719" s="41" t="str">
        <f t="shared" si="27"/>
        <v>erfüllt</v>
      </c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2.75" customHeight="1" x14ac:dyDescent="0.2">
      <c r="A720" s="9">
        <v>19418</v>
      </c>
      <c r="B720" s="9" t="s">
        <v>120</v>
      </c>
      <c r="C720" s="9" t="s">
        <v>81</v>
      </c>
      <c r="D720" s="23"/>
      <c r="E720" s="42"/>
      <c r="F720" s="43"/>
      <c r="G720" s="42"/>
      <c r="H720" s="43"/>
      <c r="I720" s="25" t="s">
        <v>15</v>
      </c>
      <c r="J720" s="34" t="str">
        <f>IF(E720="","",raw_data!C712)</f>
        <v/>
      </c>
      <c r="K720" s="46"/>
      <c r="L720" s="87"/>
      <c r="M720" s="19" t="str">
        <f>IF(E720="","",raw_data!F712)</f>
        <v/>
      </c>
      <c r="N720" s="20" t="str">
        <f t="shared" si="28"/>
        <v/>
      </c>
      <c r="O720" s="90"/>
      <c r="P720" s="91"/>
      <c r="Q720" s="91"/>
      <c r="R720" s="91"/>
      <c r="S720" s="41" t="str">
        <f t="shared" si="27"/>
        <v/>
      </c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2.75" customHeight="1" x14ac:dyDescent="0.2">
      <c r="A721" s="9">
        <v>19419</v>
      </c>
      <c r="B721" s="9" t="s">
        <v>120</v>
      </c>
      <c r="C721" s="9" t="s">
        <v>115</v>
      </c>
      <c r="D721" s="23"/>
      <c r="E721" s="42"/>
      <c r="F721" s="43"/>
      <c r="G721" s="42"/>
      <c r="H721" s="43"/>
      <c r="I721" s="25" t="s">
        <v>15</v>
      </c>
      <c r="J721" s="34" t="str">
        <f>IF(E721="","",raw_data!C713)</f>
        <v/>
      </c>
      <c r="K721" s="46"/>
      <c r="L721" s="87"/>
      <c r="M721" s="19" t="str">
        <f>IF(E721="","",raw_data!F713)</f>
        <v/>
      </c>
      <c r="N721" s="20" t="str">
        <f t="shared" si="28"/>
        <v/>
      </c>
      <c r="O721" s="90"/>
      <c r="P721" s="91"/>
      <c r="Q721" s="91"/>
      <c r="R721" s="91"/>
      <c r="S721" s="41" t="str">
        <f t="shared" si="27"/>
        <v/>
      </c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2.75" customHeight="1" x14ac:dyDescent="0.2">
      <c r="A722" s="9">
        <v>19420</v>
      </c>
      <c r="B722" s="9" t="s">
        <v>120</v>
      </c>
      <c r="C722" s="9" t="s">
        <v>294</v>
      </c>
      <c r="D722" s="23"/>
      <c r="E722" s="42"/>
      <c r="F722" s="43"/>
      <c r="G722" s="42"/>
      <c r="H722" s="43"/>
      <c r="I722" s="25" t="s">
        <v>15</v>
      </c>
      <c r="J722" s="34" t="str">
        <f>IF(E722="","",raw_data!C714)</f>
        <v/>
      </c>
      <c r="K722" s="46"/>
      <c r="L722" s="87"/>
      <c r="M722" s="19" t="str">
        <f>IF(E722="","",raw_data!F714)</f>
        <v/>
      </c>
      <c r="N722" s="20" t="str">
        <f t="shared" si="28"/>
        <v/>
      </c>
      <c r="O722" s="90"/>
      <c r="P722" s="91"/>
      <c r="Q722" s="91"/>
      <c r="R722" s="91"/>
      <c r="S722" s="41" t="str">
        <f t="shared" si="27"/>
        <v/>
      </c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2.75" customHeight="1" x14ac:dyDescent="0.2">
      <c r="A723" s="9">
        <v>19421</v>
      </c>
      <c r="B723" s="9" t="s">
        <v>120</v>
      </c>
      <c r="C723" s="9" t="s">
        <v>116</v>
      </c>
      <c r="D723" s="23"/>
      <c r="E723" s="42"/>
      <c r="F723" s="43"/>
      <c r="G723" s="42"/>
      <c r="H723" s="43"/>
      <c r="I723" s="25" t="s">
        <v>15</v>
      </c>
      <c r="J723" s="34" t="str">
        <f>IF(E723="","",raw_data!C715)</f>
        <v/>
      </c>
      <c r="K723" s="46"/>
      <c r="L723" s="87"/>
      <c r="M723" s="19" t="str">
        <f>IF(E723="","",raw_data!F715)</f>
        <v/>
      </c>
      <c r="N723" s="20" t="str">
        <f t="shared" si="28"/>
        <v/>
      </c>
      <c r="O723" s="90"/>
      <c r="P723" s="91"/>
      <c r="Q723" s="91"/>
      <c r="R723" s="91"/>
      <c r="S723" s="41" t="str">
        <f t="shared" si="27"/>
        <v/>
      </c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2.75" customHeight="1" x14ac:dyDescent="0.2">
      <c r="A724" s="9">
        <v>19422</v>
      </c>
      <c r="B724" s="9" t="s">
        <v>120</v>
      </c>
      <c r="C724" s="9" t="s">
        <v>295</v>
      </c>
      <c r="D724" s="23"/>
      <c r="E724" s="42"/>
      <c r="F724" s="43"/>
      <c r="G724" s="42"/>
      <c r="H724" s="43"/>
      <c r="I724" s="25" t="s">
        <v>15</v>
      </c>
      <c r="J724" s="34" t="str">
        <f>IF(E724="","",raw_data!C716)</f>
        <v/>
      </c>
      <c r="K724" s="46"/>
      <c r="L724" s="87"/>
      <c r="M724" s="19" t="str">
        <f>IF(E724="","",raw_data!F716)</f>
        <v/>
      </c>
      <c r="N724" s="20" t="str">
        <f t="shared" si="28"/>
        <v/>
      </c>
      <c r="O724" s="90"/>
      <c r="P724" s="91"/>
      <c r="Q724" s="91"/>
      <c r="R724" s="91"/>
      <c r="S724" s="41" t="str">
        <f t="shared" si="27"/>
        <v/>
      </c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2.75" customHeight="1" x14ac:dyDescent="0.2">
      <c r="A725" s="9">
        <v>19423</v>
      </c>
      <c r="B725" s="9" t="s">
        <v>120</v>
      </c>
      <c r="C725" s="9" t="s">
        <v>296</v>
      </c>
      <c r="D725" s="23"/>
      <c r="E725" s="42"/>
      <c r="F725" s="43"/>
      <c r="G725" s="42"/>
      <c r="H725" s="43"/>
      <c r="I725" s="25" t="s">
        <v>15</v>
      </c>
      <c r="J725" s="34" t="str">
        <f>IF(E725="","",raw_data!C717)</f>
        <v/>
      </c>
      <c r="K725" s="46"/>
      <c r="L725" s="87"/>
      <c r="M725" s="19" t="str">
        <f>IF(E725="","",raw_data!F717)</f>
        <v/>
      </c>
      <c r="N725" s="20" t="str">
        <f t="shared" si="28"/>
        <v/>
      </c>
      <c r="O725" s="90"/>
      <c r="P725" s="91"/>
      <c r="Q725" s="91"/>
      <c r="R725" s="91"/>
      <c r="S725" s="41" t="str">
        <f t="shared" si="27"/>
        <v/>
      </c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2.75" customHeight="1" x14ac:dyDescent="0.2">
      <c r="A726" s="9">
        <v>19424</v>
      </c>
      <c r="B726" s="9" t="s">
        <v>120</v>
      </c>
      <c r="C726" s="9" t="s">
        <v>117</v>
      </c>
      <c r="D726" s="23"/>
      <c r="E726" s="42"/>
      <c r="F726" s="43"/>
      <c r="G726" s="42"/>
      <c r="H726" s="43"/>
      <c r="I726" s="25" t="s">
        <v>15</v>
      </c>
      <c r="J726" s="34" t="str">
        <f>IF(E726="","",raw_data!C718)</f>
        <v/>
      </c>
      <c r="K726" s="46"/>
      <c r="L726" s="87"/>
      <c r="M726" s="19" t="str">
        <f>IF(E726="","",raw_data!F718)</f>
        <v/>
      </c>
      <c r="N726" s="20" t="str">
        <f t="shared" si="28"/>
        <v/>
      </c>
      <c r="O726" s="90"/>
      <c r="P726" s="91"/>
      <c r="Q726" s="91"/>
      <c r="R726" s="91"/>
      <c r="S726" s="41" t="str">
        <f t="shared" si="27"/>
        <v/>
      </c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2.75" customHeight="1" x14ac:dyDescent="0.2">
      <c r="A727" s="9">
        <v>19425</v>
      </c>
      <c r="B727" s="9" t="s">
        <v>120</v>
      </c>
      <c r="C727" s="9" t="s">
        <v>297</v>
      </c>
      <c r="D727" s="23"/>
      <c r="E727" s="42"/>
      <c r="F727" s="43"/>
      <c r="G727" s="42"/>
      <c r="H727" s="43"/>
      <c r="I727" s="25" t="s">
        <v>15</v>
      </c>
      <c r="J727" s="34" t="str">
        <f>IF(E727="","",raw_data!C719)</f>
        <v/>
      </c>
      <c r="K727" s="46"/>
      <c r="L727" s="87"/>
      <c r="M727" s="19" t="str">
        <f>IF(E727="","",raw_data!F719)</f>
        <v/>
      </c>
      <c r="N727" s="20" t="str">
        <f t="shared" si="28"/>
        <v/>
      </c>
      <c r="O727" s="90"/>
      <c r="P727" s="91"/>
      <c r="Q727" s="91"/>
      <c r="R727" s="91"/>
      <c r="S727" s="41" t="str">
        <f t="shared" si="27"/>
        <v/>
      </c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2.75" customHeight="1" x14ac:dyDescent="0.2">
      <c r="A728" s="9">
        <v>19426</v>
      </c>
      <c r="B728" s="9" t="s">
        <v>120</v>
      </c>
      <c r="C728" s="9" t="s">
        <v>298</v>
      </c>
      <c r="D728" s="23"/>
      <c r="E728" s="42"/>
      <c r="F728" s="43"/>
      <c r="G728" s="42"/>
      <c r="H728" s="43"/>
      <c r="I728" s="25" t="s">
        <v>15</v>
      </c>
      <c r="J728" s="34" t="str">
        <f>IF(E728="","",raw_data!C720)</f>
        <v/>
      </c>
      <c r="K728" s="46"/>
      <c r="L728" s="87"/>
      <c r="M728" s="19" t="str">
        <f>IF(E728="","",raw_data!F720)</f>
        <v/>
      </c>
      <c r="N728" s="20" t="str">
        <f t="shared" si="28"/>
        <v/>
      </c>
      <c r="O728" s="90"/>
      <c r="P728" s="91"/>
      <c r="Q728" s="91"/>
      <c r="R728" s="91"/>
      <c r="S728" s="41" t="str">
        <f t="shared" si="27"/>
        <v/>
      </c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2.75" customHeight="1" x14ac:dyDescent="0.2">
      <c r="A729" s="9">
        <v>19427</v>
      </c>
      <c r="B729" s="9" t="s">
        <v>120</v>
      </c>
      <c r="C729" s="9" t="s">
        <v>118</v>
      </c>
      <c r="D729" s="23"/>
      <c r="E729" s="42"/>
      <c r="F729" s="43"/>
      <c r="G729" s="42"/>
      <c r="H729" s="43"/>
      <c r="I729" s="25" t="s">
        <v>15</v>
      </c>
      <c r="J729" s="34" t="str">
        <f>IF(E729="","",raw_data!C721)</f>
        <v/>
      </c>
      <c r="K729" s="46"/>
      <c r="L729" s="87"/>
      <c r="M729" s="19" t="str">
        <f>IF(E729="","",raw_data!F721)</f>
        <v/>
      </c>
      <c r="N729" s="20" t="str">
        <f t="shared" si="28"/>
        <v/>
      </c>
      <c r="O729" s="90"/>
      <c r="P729" s="91"/>
      <c r="Q729" s="91"/>
      <c r="R729" s="91"/>
      <c r="S729" s="41" t="str">
        <f t="shared" si="27"/>
        <v/>
      </c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2.75" customHeight="1" x14ac:dyDescent="0.2">
      <c r="A730" s="9">
        <v>19428</v>
      </c>
      <c r="B730" s="9" t="s">
        <v>120</v>
      </c>
      <c r="C730" s="9" t="s">
        <v>299</v>
      </c>
      <c r="D730" s="23"/>
      <c r="E730" s="42"/>
      <c r="F730" s="43"/>
      <c r="G730" s="42"/>
      <c r="H730" s="43"/>
      <c r="I730" s="25" t="s">
        <v>15</v>
      </c>
      <c r="J730" s="34" t="str">
        <f>IF(E730="","",raw_data!C722)</f>
        <v/>
      </c>
      <c r="K730" s="46"/>
      <c r="L730" s="87"/>
      <c r="M730" s="19" t="str">
        <f>IF(E730="","",raw_data!F722)</f>
        <v/>
      </c>
      <c r="N730" s="20" t="str">
        <f t="shared" si="28"/>
        <v/>
      </c>
      <c r="O730" s="90"/>
      <c r="P730" s="91"/>
      <c r="Q730" s="91"/>
      <c r="R730" s="91"/>
      <c r="S730" s="41" t="str">
        <f t="shared" si="27"/>
        <v/>
      </c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2.75" customHeight="1" x14ac:dyDescent="0.2">
      <c r="A731" s="9">
        <v>19429</v>
      </c>
      <c r="B731" s="9" t="s">
        <v>120</v>
      </c>
      <c r="C731" s="9" t="s">
        <v>193</v>
      </c>
      <c r="D731" s="23"/>
      <c r="E731" s="42"/>
      <c r="F731" s="43"/>
      <c r="G731" s="42"/>
      <c r="H731" s="43"/>
      <c r="I731" s="25" t="s">
        <v>15</v>
      </c>
      <c r="J731" s="34" t="str">
        <f>IF(E731="","",raw_data!C723)</f>
        <v/>
      </c>
      <c r="K731" s="46"/>
      <c r="L731" s="87"/>
      <c r="M731" s="19" t="str">
        <f>IF(E731="","",raw_data!F723)</f>
        <v/>
      </c>
      <c r="N731" s="20" t="str">
        <f t="shared" si="28"/>
        <v/>
      </c>
      <c r="O731" s="90"/>
      <c r="P731" s="91"/>
      <c r="Q731" s="91"/>
      <c r="R731" s="91"/>
      <c r="S731" s="41" t="str">
        <f t="shared" si="27"/>
        <v/>
      </c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2.75" customHeight="1" x14ac:dyDescent="0.2">
      <c r="A732" s="9">
        <v>19430</v>
      </c>
      <c r="B732" s="9" t="s">
        <v>120</v>
      </c>
      <c r="C732" s="9" t="s">
        <v>56</v>
      </c>
      <c r="D732" s="23"/>
      <c r="E732" s="42"/>
      <c r="F732" s="43"/>
      <c r="G732" s="42"/>
      <c r="H732" s="43"/>
      <c r="I732" s="25" t="s">
        <v>15</v>
      </c>
      <c r="J732" s="34" t="str">
        <f>IF(E732="","",raw_data!C724)</f>
        <v/>
      </c>
      <c r="K732" s="46"/>
      <c r="L732" s="87"/>
      <c r="M732" s="19" t="str">
        <f>IF(E732="","",raw_data!F724)</f>
        <v/>
      </c>
      <c r="N732" s="20" t="str">
        <f t="shared" si="28"/>
        <v/>
      </c>
      <c r="O732" s="90"/>
      <c r="P732" s="91"/>
      <c r="Q732" s="91"/>
      <c r="R732" s="91"/>
      <c r="S732" s="41" t="str">
        <f t="shared" si="27"/>
        <v/>
      </c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2.75" customHeight="1" x14ac:dyDescent="0.2">
      <c r="A733" s="9">
        <v>19431</v>
      </c>
      <c r="B733" s="9" t="s">
        <v>123</v>
      </c>
      <c r="C733" s="9" t="s">
        <v>77</v>
      </c>
      <c r="D733" s="23"/>
      <c r="E733" s="42"/>
      <c r="F733" s="43"/>
      <c r="G733" s="42"/>
      <c r="H733" s="43"/>
      <c r="I733" s="25" t="s">
        <v>15</v>
      </c>
      <c r="J733" s="34" t="str">
        <f>IF(E733="","",raw_data!C725)</f>
        <v/>
      </c>
      <c r="K733" s="46"/>
      <c r="L733" s="87"/>
      <c r="M733" s="19" t="str">
        <f>IF(E733="","",raw_data!F725)</f>
        <v/>
      </c>
      <c r="N733" s="20" t="str">
        <f t="shared" si="28"/>
        <v/>
      </c>
      <c r="O733" s="90"/>
      <c r="P733" s="91"/>
      <c r="Q733" s="91"/>
      <c r="R733" s="91"/>
      <c r="S733" s="41" t="str">
        <f t="shared" si="27"/>
        <v/>
      </c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2.75" customHeight="1" x14ac:dyDescent="0.2">
      <c r="A734" s="9">
        <v>19432</v>
      </c>
      <c r="B734" s="9" t="s">
        <v>123</v>
      </c>
      <c r="C734" s="9" t="s">
        <v>14</v>
      </c>
      <c r="D734" s="23"/>
      <c r="E734" s="42">
        <v>1</v>
      </c>
      <c r="F734" s="43"/>
      <c r="G734" s="42" t="s">
        <v>155</v>
      </c>
      <c r="H734" s="43"/>
      <c r="I734" s="25" t="s">
        <v>15</v>
      </c>
      <c r="J734" s="34">
        <f>IF(E734="","",raw_data!C726)</f>
        <v>0</v>
      </c>
      <c r="K734" s="46"/>
      <c r="L734" s="87"/>
      <c r="M734" s="19">
        <f>IF(E734="","",raw_data!F726)</f>
        <v>0</v>
      </c>
      <c r="N734" s="20" t="str">
        <f t="shared" si="28"/>
        <v>-</v>
      </c>
      <c r="O734" s="90"/>
      <c r="P734" s="91"/>
      <c r="Q734" s="91"/>
      <c r="R734" s="91"/>
      <c r="S734" s="41" t="str">
        <f t="shared" si="27"/>
        <v>erfüllt</v>
      </c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2.75" customHeight="1" x14ac:dyDescent="0.2">
      <c r="A735" s="9">
        <v>19433</v>
      </c>
      <c r="B735" s="9" t="s">
        <v>123</v>
      </c>
      <c r="C735" s="9" t="s">
        <v>19</v>
      </c>
      <c r="D735" s="23"/>
      <c r="E735" s="42"/>
      <c r="F735" s="43"/>
      <c r="G735" s="42"/>
      <c r="H735" s="43"/>
      <c r="I735" s="25" t="s">
        <v>15</v>
      </c>
      <c r="J735" s="34" t="str">
        <f>IF(E735="","",raw_data!C727)</f>
        <v/>
      </c>
      <c r="K735" s="46"/>
      <c r="L735" s="87"/>
      <c r="M735" s="19" t="str">
        <f>IF(E735="","",raw_data!F727)</f>
        <v/>
      </c>
      <c r="N735" s="20" t="str">
        <f t="shared" si="28"/>
        <v/>
      </c>
      <c r="O735" s="90"/>
      <c r="P735" s="91"/>
      <c r="Q735" s="91"/>
      <c r="R735" s="91"/>
      <c r="S735" s="41" t="str">
        <f t="shared" si="27"/>
        <v/>
      </c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2.75" customHeight="1" x14ac:dyDescent="0.2">
      <c r="A736" s="9">
        <v>19434</v>
      </c>
      <c r="B736" s="9" t="s">
        <v>123</v>
      </c>
      <c r="C736" s="9" t="s">
        <v>240</v>
      </c>
      <c r="D736" s="23"/>
      <c r="E736" s="42">
        <v>1</v>
      </c>
      <c r="F736" s="43"/>
      <c r="G736" s="42" t="s">
        <v>155</v>
      </c>
      <c r="H736" s="43"/>
      <c r="I736" s="25" t="s">
        <v>15</v>
      </c>
      <c r="J736" s="34">
        <f>IF(E736="","",raw_data!C728)</f>
        <v>0</v>
      </c>
      <c r="K736" s="46"/>
      <c r="L736" s="87"/>
      <c r="M736" s="19">
        <f>IF(E736="","",raw_data!F728)</f>
        <v>0</v>
      </c>
      <c r="N736" s="20" t="str">
        <f t="shared" si="28"/>
        <v>-</v>
      </c>
      <c r="O736" s="90"/>
      <c r="P736" s="91"/>
      <c r="Q736" s="91"/>
      <c r="R736" s="91"/>
      <c r="S736" s="41" t="str">
        <f t="shared" si="27"/>
        <v>erfüllt</v>
      </c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2.75" customHeight="1" x14ac:dyDescent="0.2">
      <c r="A737" s="9">
        <v>19435</v>
      </c>
      <c r="B737" s="9" t="s">
        <v>123</v>
      </c>
      <c r="C737" s="9" t="s">
        <v>160</v>
      </c>
      <c r="D737" s="23"/>
      <c r="E737" s="42"/>
      <c r="F737" s="43"/>
      <c r="G737" s="42"/>
      <c r="H737" s="43"/>
      <c r="I737" s="25" t="s">
        <v>15</v>
      </c>
      <c r="J737" s="34" t="str">
        <f>IF(E737="","",raw_data!C729)</f>
        <v/>
      </c>
      <c r="K737" s="46"/>
      <c r="L737" s="87"/>
      <c r="M737" s="19" t="str">
        <f>IF(E737="","",raw_data!F729)</f>
        <v/>
      </c>
      <c r="N737" s="20" t="str">
        <f t="shared" si="28"/>
        <v/>
      </c>
      <c r="O737" s="90"/>
      <c r="P737" s="91"/>
      <c r="Q737" s="91"/>
      <c r="R737" s="91"/>
      <c r="S737" s="41" t="str">
        <f t="shared" si="27"/>
        <v/>
      </c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2.75" customHeight="1" x14ac:dyDescent="0.2">
      <c r="A738" s="9">
        <v>19436</v>
      </c>
      <c r="B738" s="9" t="s">
        <v>123</v>
      </c>
      <c r="C738" s="9" t="s">
        <v>161</v>
      </c>
      <c r="D738" s="23"/>
      <c r="E738" s="42"/>
      <c r="F738" s="43"/>
      <c r="G738" s="42"/>
      <c r="H738" s="43"/>
      <c r="I738" s="25" t="s">
        <v>15</v>
      </c>
      <c r="J738" s="34" t="str">
        <f>IF(E738="","",raw_data!C730)</f>
        <v/>
      </c>
      <c r="K738" s="46"/>
      <c r="L738" s="87"/>
      <c r="M738" s="19" t="str">
        <f>IF(E738="","",raw_data!F730)</f>
        <v/>
      </c>
      <c r="N738" s="20" t="str">
        <f t="shared" si="28"/>
        <v/>
      </c>
      <c r="O738" s="90"/>
      <c r="P738" s="91"/>
      <c r="Q738" s="91"/>
      <c r="R738" s="91"/>
      <c r="S738" s="41" t="str">
        <f t="shared" si="27"/>
        <v/>
      </c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2.75" customHeight="1" x14ac:dyDescent="0.2">
      <c r="A739" s="9">
        <v>19437</v>
      </c>
      <c r="B739" s="9" t="s">
        <v>123</v>
      </c>
      <c r="C739" s="9" t="s">
        <v>346</v>
      </c>
      <c r="D739" s="23"/>
      <c r="E739" s="42"/>
      <c r="F739" s="43"/>
      <c r="G739" s="42"/>
      <c r="H739" s="43"/>
      <c r="I739" s="25" t="s">
        <v>15</v>
      </c>
      <c r="J739" s="34" t="str">
        <f>IF(E739="","",raw_data!C731)</f>
        <v/>
      </c>
      <c r="K739" s="46"/>
      <c r="L739" s="87"/>
      <c r="M739" s="19" t="str">
        <f>IF(E739="","",raw_data!F731)</f>
        <v/>
      </c>
      <c r="N739" s="20" t="str">
        <f t="shared" si="28"/>
        <v/>
      </c>
      <c r="O739" s="90"/>
      <c r="P739" s="91"/>
      <c r="Q739" s="91"/>
      <c r="R739" s="91"/>
      <c r="S739" s="41" t="str">
        <f t="shared" si="27"/>
        <v/>
      </c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2.75" customHeight="1" x14ac:dyDescent="0.2">
      <c r="A740" s="9">
        <v>19438</v>
      </c>
      <c r="B740" s="9" t="s">
        <v>123</v>
      </c>
      <c r="C740" s="9" t="s">
        <v>347</v>
      </c>
      <c r="D740" s="23"/>
      <c r="E740" s="42"/>
      <c r="F740" s="43"/>
      <c r="G740" s="42"/>
      <c r="H740" s="43"/>
      <c r="I740" s="25" t="s">
        <v>15</v>
      </c>
      <c r="J740" s="34" t="str">
        <f>IF(E740="","",raw_data!C732)</f>
        <v/>
      </c>
      <c r="K740" s="46"/>
      <c r="L740" s="87"/>
      <c r="M740" s="19" t="str">
        <f>IF(E740="","",raw_data!F732)</f>
        <v/>
      </c>
      <c r="N740" s="20" t="str">
        <f t="shared" si="28"/>
        <v/>
      </c>
      <c r="O740" s="90"/>
      <c r="P740" s="91"/>
      <c r="Q740" s="91"/>
      <c r="R740" s="91"/>
      <c r="S740" s="41" t="str">
        <f t="shared" si="27"/>
        <v/>
      </c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" customHeight="1" x14ac:dyDescent="0.2">
      <c r="A741" s="9">
        <v>19439</v>
      </c>
      <c r="B741" s="9" t="s">
        <v>123</v>
      </c>
      <c r="C741" s="9" t="s">
        <v>348</v>
      </c>
      <c r="D741" s="23"/>
      <c r="E741" s="42"/>
      <c r="F741" s="43"/>
      <c r="G741" s="42"/>
      <c r="H741" s="43"/>
      <c r="I741" s="25" t="s">
        <v>15</v>
      </c>
      <c r="J741" s="34" t="str">
        <f>IF(E741="","",raw_data!C733)</f>
        <v/>
      </c>
      <c r="K741" s="46"/>
      <c r="L741" s="87"/>
      <c r="M741" s="19" t="str">
        <f>IF(E741="","",raw_data!F733)</f>
        <v/>
      </c>
      <c r="N741" s="20" t="str">
        <f t="shared" si="28"/>
        <v/>
      </c>
      <c r="O741" s="90"/>
      <c r="P741" s="91"/>
      <c r="Q741" s="91"/>
      <c r="R741" s="91"/>
      <c r="S741" s="41" t="str">
        <f t="shared" si="27"/>
        <v/>
      </c>
    </row>
    <row r="742" spans="1:31" ht="15" customHeight="1" x14ac:dyDescent="0.2">
      <c r="A742" s="9">
        <v>19440</v>
      </c>
      <c r="B742" s="9" t="s">
        <v>123</v>
      </c>
      <c r="C742" s="9" t="s">
        <v>349</v>
      </c>
      <c r="D742" s="23"/>
      <c r="E742" s="42"/>
      <c r="F742" s="43"/>
      <c r="G742" s="42"/>
      <c r="H742" s="43"/>
      <c r="I742" s="25" t="s">
        <v>15</v>
      </c>
      <c r="J742" s="34" t="str">
        <f>IF(E742="","",raw_data!C734)</f>
        <v/>
      </c>
      <c r="K742" s="46"/>
      <c r="L742" s="87"/>
      <c r="M742" s="19" t="str">
        <f>IF(E742="","",raw_data!F734)</f>
        <v/>
      </c>
      <c r="N742" s="20" t="str">
        <f t="shared" si="28"/>
        <v/>
      </c>
      <c r="O742" s="90"/>
      <c r="P742" s="91"/>
      <c r="Q742" s="91"/>
      <c r="R742" s="91"/>
      <c r="S742" s="41" t="str">
        <f t="shared" si="27"/>
        <v/>
      </c>
    </row>
    <row r="743" spans="1:31" ht="15" customHeight="1" x14ac:dyDescent="0.2">
      <c r="A743" s="9">
        <v>19441</v>
      </c>
      <c r="B743" s="9" t="s">
        <v>123</v>
      </c>
      <c r="C743" s="9" t="s">
        <v>350</v>
      </c>
      <c r="D743" s="23"/>
      <c r="E743" s="42"/>
      <c r="F743" s="43"/>
      <c r="G743" s="42"/>
      <c r="H743" s="43"/>
      <c r="I743" s="25" t="s">
        <v>15</v>
      </c>
      <c r="J743" s="34" t="str">
        <f>IF(E743="","",raw_data!C735)</f>
        <v/>
      </c>
      <c r="K743" s="46"/>
      <c r="L743" s="87"/>
      <c r="M743" s="19" t="str">
        <f>IF(E743="","",raw_data!F735)</f>
        <v/>
      </c>
      <c r="N743" s="20" t="str">
        <f t="shared" si="28"/>
        <v/>
      </c>
      <c r="O743" s="90"/>
      <c r="P743" s="91"/>
      <c r="Q743" s="91"/>
      <c r="R743" s="91"/>
      <c r="S743" s="41" t="str">
        <f t="shared" si="27"/>
        <v/>
      </c>
    </row>
    <row r="744" spans="1:31" ht="15" customHeight="1" x14ac:dyDescent="0.2">
      <c r="A744" s="9">
        <v>19442</v>
      </c>
      <c r="B744" s="9" t="s">
        <v>123</v>
      </c>
      <c r="C744" s="9" t="s">
        <v>351</v>
      </c>
      <c r="D744" s="23"/>
      <c r="E744" s="42"/>
      <c r="F744" s="43"/>
      <c r="G744" s="42"/>
      <c r="H744" s="43"/>
      <c r="I744" s="25" t="s">
        <v>15</v>
      </c>
      <c r="J744" s="34" t="str">
        <f>IF(E744="","",raw_data!C736)</f>
        <v/>
      </c>
      <c r="K744" s="46"/>
      <c r="L744" s="87"/>
      <c r="M744" s="19" t="str">
        <f>IF(E744="","",raw_data!F736)</f>
        <v/>
      </c>
      <c r="N744" s="20" t="str">
        <f t="shared" si="28"/>
        <v/>
      </c>
      <c r="O744" s="90"/>
      <c r="P744" s="91"/>
      <c r="Q744" s="91"/>
      <c r="R744" s="91"/>
      <c r="S744" s="41" t="str">
        <f t="shared" si="27"/>
        <v/>
      </c>
    </row>
    <row r="745" spans="1:31" ht="15" customHeight="1" x14ac:dyDescent="0.2">
      <c r="A745" s="9">
        <v>19443</v>
      </c>
      <c r="B745" s="9" t="s">
        <v>123</v>
      </c>
      <c r="C745" s="9" t="s">
        <v>352</v>
      </c>
      <c r="D745" s="23"/>
      <c r="E745" s="42"/>
      <c r="F745" s="43"/>
      <c r="G745" s="42"/>
      <c r="H745" s="43"/>
      <c r="I745" s="25" t="s">
        <v>15</v>
      </c>
      <c r="J745" s="34" t="str">
        <f>IF(E745="","",raw_data!C737)</f>
        <v/>
      </c>
      <c r="K745" s="46"/>
      <c r="L745" s="87"/>
      <c r="M745" s="19" t="str">
        <f>IF(E745="","",raw_data!F737)</f>
        <v/>
      </c>
      <c r="N745" s="20" t="str">
        <f t="shared" si="28"/>
        <v/>
      </c>
      <c r="O745" s="90"/>
      <c r="P745" s="91"/>
      <c r="Q745" s="91"/>
      <c r="R745" s="91"/>
      <c r="S745" s="41" t="str">
        <f t="shared" si="27"/>
        <v/>
      </c>
    </row>
    <row r="746" spans="1:31" ht="15" customHeight="1" x14ac:dyDescent="0.2">
      <c r="A746" s="9">
        <v>19444</v>
      </c>
      <c r="B746" s="9" t="s">
        <v>123</v>
      </c>
      <c r="C746" s="9" t="s">
        <v>353</v>
      </c>
      <c r="D746" s="23"/>
      <c r="E746" s="42"/>
      <c r="F746" s="43"/>
      <c r="G746" s="42"/>
      <c r="H746" s="43"/>
      <c r="I746" s="25" t="s">
        <v>15</v>
      </c>
      <c r="J746" s="34" t="str">
        <f>IF(E746="","",raw_data!C738)</f>
        <v/>
      </c>
      <c r="K746" s="46"/>
      <c r="L746" s="87"/>
      <c r="M746" s="19" t="str">
        <f>IF(E746="","",raw_data!F738)</f>
        <v/>
      </c>
      <c r="N746" s="20" t="str">
        <f t="shared" si="28"/>
        <v/>
      </c>
      <c r="O746" s="90"/>
      <c r="P746" s="91"/>
      <c r="Q746" s="91"/>
      <c r="R746" s="91"/>
      <c r="S746" s="41" t="str">
        <f t="shared" si="27"/>
        <v/>
      </c>
    </row>
    <row r="747" spans="1:31" ht="15" customHeight="1" x14ac:dyDescent="0.2">
      <c r="A747" s="9">
        <v>19445</v>
      </c>
      <c r="B747" s="9" t="s">
        <v>123</v>
      </c>
      <c r="C747" s="9" t="s">
        <v>354</v>
      </c>
      <c r="D747" s="23"/>
      <c r="E747" s="42"/>
      <c r="F747" s="43"/>
      <c r="G747" s="42"/>
      <c r="H747" s="43"/>
      <c r="I747" s="25" t="s">
        <v>15</v>
      </c>
      <c r="J747" s="34" t="str">
        <f>IF(E747="","",raw_data!C739)</f>
        <v/>
      </c>
      <c r="K747" s="46"/>
      <c r="L747" s="87"/>
      <c r="M747" s="19" t="str">
        <f>IF(E747="","",raw_data!F739)</f>
        <v/>
      </c>
      <c r="N747" s="20" t="str">
        <f t="shared" si="28"/>
        <v/>
      </c>
      <c r="O747" s="90"/>
      <c r="P747" s="91"/>
      <c r="Q747" s="91"/>
      <c r="R747" s="91"/>
      <c r="S747" s="41" t="str">
        <f t="shared" si="27"/>
        <v/>
      </c>
    </row>
    <row r="748" spans="1:31" ht="15" customHeight="1" x14ac:dyDescent="0.2">
      <c r="A748" s="9">
        <v>19446</v>
      </c>
      <c r="B748" s="9" t="s">
        <v>123</v>
      </c>
      <c r="C748" s="9" t="s">
        <v>243</v>
      </c>
      <c r="D748" s="23"/>
      <c r="E748" s="42"/>
      <c r="F748" s="43"/>
      <c r="G748" s="42"/>
      <c r="H748" s="43"/>
      <c r="I748" s="25" t="s">
        <v>15</v>
      </c>
      <c r="J748" s="34" t="str">
        <f>IF(E748="","",raw_data!C740)</f>
        <v/>
      </c>
      <c r="K748" s="46"/>
      <c r="L748" s="87"/>
      <c r="M748" s="19" t="str">
        <f>IF(E748="","",raw_data!F740)</f>
        <v/>
      </c>
      <c r="N748" s="20" t="str">
        <f t="shared" si="28"/>
        <v/>
      </c>
      <c r="O748" s="90"/>
      <c r="P748" s="91"/>
      <c r="Q748" s="91"/>
      <c r="R748" s="91"/>
      <c r="S748" s="41" t="str">
        <f t="shared" si="27"/>
        <v/>
      </c>
    </row>
    <row r="749" spans="1:31" ht="15" customHeight="1" x14ac:dyDescent="0.2">
      <c r="A749" s="9">
        <v>19447</v>
      </c>
      <c r="B749" s="9" t="s">
        <v>123</v>
      </c>
      <c r="C749" s="9" t="s">
        <v>244</v>
      </c>
      <c r="D749" s="23"/>
      <c r="E749" s="42"/>
      <c r="F749" s="43"/>
      <c r="G749" s="42"/>
      <c r="H749" s="43"/>
      <c r="I749" s="25" t="s">
        <v>15</v>
      </c>
      <c r="J749" s="34" t="str">
        <f>IF(E749="","",raw_data!C741)</f>
        <v/>
      </c>
      <c r="K749" s="46"/>
      <c r="L749" s="87"/>
      <c r="M749" s="19" t="str">
        <f>IF(E749="","",raw_data!F741)</f>
        <v/>
      </c>
      <c r="N749" s="20" t="str">
        <f t="shared" si="28"/>
        <v/>
      </c>
      <c r="O749" s="90"/>
      <c r="P749" s="91"/>
      <c r="Q749" s="91"/>
      <c r="R749" s="91"/>
      <c r="S749" s="41" t="str">
        <f t="shared" si="27"/>
        <v/>
      </c>
    </row>
    <row r="750" spans="1:31" ht="15" customHeight="1" x14ac:dyDescent="0.2">
      <c r="A750" s="9">
        <v>19448</v>
      </c>
      <c r="B750" s="9" t="s">
        <v>123</v>
      </c>
      <c r="C750" s="9" t="s">
        <v>245</v>
      </c>
      <c r="D750" s="23"/>
      <c r="E750" s="42"/>
      <c r="F750" s="43"/>
      <c r="G750" s="42"/>
      <c r="H750" s="43"/>
      <c r="I750" s="25" t="s">
        <v>15</v>
      </c>
      <c r="J750" s="34" t="str">
        <f>IF(E750="","",raw_data!C742)</f>
        <v/>
      </c>
      <c r="K750" s="46"/>
      <c r="L750" s="87"/>
      <c r="M750" s="19" t="str">
        <f>IF(E750="","",raw_data!F742)</f>
        <v/>
      </c>
      <c r="N750" s="20" t="str">
        <f t="shared" si="28"/>
        <v/>
      </c>
      <c r="O750" s="90"/>
      <c r="P750" s="91"/>
      <c r="Q750" s="91"/>
      <c r="R750" s="91"/>
      <c r="S750" s="41" t="str">
        <f t="shared" si="27"/>
        <v/>
      </c>
    </row>
    <row r="751" spans="1:31" ht="15" customHeight="1" x14ac:dyDescent="0.2">
      <c r="A751" s="9">
        <v>19449</v>
      </c>
      <c r="B751" s="9" t="s">
        <v>123</v>
      </c>
      <c r="C751" s="9" t="s">
        <v>78</v>
      </c>
      <c r="D751" s="23"/>
      <c r="E751" s="42"/>
      <c r="F751" s="43"/>
      <c r="G751" s="42"/>
      <c r="H751" s="43"/>
      <c r="I751" s="25" t="s">
        <v>15</v>
      </c>
      <c r="J751" s="34" t="str">
        <f>IF(E751="","",raw_data!C743)</f>
        <v/>
      </c>
      <c r="K751" s="46"/>
      <c r="L751" s="87"/>
      <c r="M751" s="19" t="str">
        <f>IF(E751="","",raw_data!F743)</f>
        <v/>
      </c>
      <c r="N751" s="20" t="str">
        <f t="shared" si="28"/>
        <v/>
      </c>
      <c r="O751" s="90"/>
      <c r="P751" s="91"/>
      <c r="Q751" s="91"/>
      <c r="R751" s="91"/>
      <c r="S751" s="41" t="str">
        <f t="shared" si="27"/>
        <v/>
      </c>
    </row>
    <row r="752" spans="1:31" ht="15" customHeight="1" x14ac:dyDescent="0.2">
      <c r="A752" s="9">
        <v>19450</v>
      </c>
      <c r="B752" s="9" t="s">
        <v>123</v>
      </c>
      <c r="C752" s="9" t="s">
        <v>162</v>
      </c>
      <c r="D752" s="23"/>
      <c r="E752" s="42"/>
      <c r="F752" s="43"/>
      <c r="G752" s="42"/>
      <c r="H752" s="43"/>
      <c r="I752" s="25" t="s">
        <v>15</v>
      </c>
      <c r="J752" s="34" t="str">
        <f>IF(E752="","",raw_data!C744)</f>
        <v/>
      </c>
      <c r="K752" s="46"/>
      <c r="L752" s="87"/>
      <c r="M752" s="19" t="str">
        <f>IF(E752="","",raw_data!F744)</f>
        <v/>
      </c>
      <c r="N752" s="20" t="str">
        <f t="shared" si="28"/>
        <v/>
      </c>
      <c r="O752" s="90"/>
      <c r="P752" s="91"/>
      <c r="Q752" s="91"/>
      <c r="R752" s="91"/>
      <c r="S752" s="41" t="str">
        <f t="shared" si="27"/>
        <v/>
      </c>
    </row>
    <row r="753" spans="1:19" ht="15" customHeight="1" x14ac:dyDescent="0.2">
      <c r="A753" s="9">
        <v>19451</v>
      </c>
      <c r="B753" s="9" t="s">
        <v>123</v>
      </c>
      <c r="C753" s="9" t="s">
        <v>289</v>
      </c>
      <c r="D753" s="23"/>
      <c r="E753" s="42"/>
      <c r="F753" s="43"/>
      <c r="G753" s="42"/>
      <c r="H753" s="43"/>
      <c r="I753" s="25" t="s">
        <v>15</v>
      </c>
      <c r="J753" s="34" t="str">
        <f>IF(E753="","",raw_data!C745)</f>
        <v/>
      </c>
      <c r="K753" s="46"/>
      <c r="L753" s="87"/>
      <c r="M753" s="19" t="str">
        <f>IF(E753="","",raw_data!F745)</f>
        <v/>
      </c>
      <c r="N753" s="20" t="str">
        <f t="shared" si="28"/>
        <v/>
      </c>
      <c r="O753" s="90"/>
      <c r="P753" s="91"/>
      <c r="Q753" s="91"/>
      <c r="R753" s="91"/>
      <c r="S753" s="41" t="str">
        <f t="shared" si="27"/>
        <v/>
      </c>
    </row>
    <row r="754" spans="1:19" ht="15" customHeight="1" x14ac:dyDescent="0.2">
      <c r="A754" s="9">
        <v>19452</v>
      </c>
      <c r="B754" s="9" t="s">
        <v>123</v>
      </c>
      <c r="C754" s="9" t="s">
        <v>113</v>
      </c>
      <c r="D754" s="23"/>
      <c r="E754" s="42"/>
      <c r="F754" s="43"/>
      <c r="G754" s="42"/>
      <c r="H754" s="43"/>
      <c r="I754" s="25" t="s">
        <v>15</v>
      </c>
      <c r="J754" s="34" t="str">
        <f>IF(E754="","",raw_data!C746)</f>
        <v/>
      </c>
      <c r="K754" s="46"/>
      <c r="L754" s="87"/>
      <c r="M754" s="19" t="str">
        <f>IF(E754="","",raw_data!F746)</f>
        <v/>
      </c>
      <c r="N754" s="20" t="str">
        <f t="shared" si="28"/>
        <v/>
      </c>
      <c r="O754" s="90"/>
      <c r="P754" s="91"/>
      <c r="Q754" s="91"/>
      <c r="R754" s="91"/>
      <c r="S754" s="41" t="str">
        <f t="shared" si="27"/>
        <v/>
      </c>
    </row>
    <row r="755" spans="1:19" ht="15" customHeight="1" x14ac:dyDescent="0.2">
      <c r="A755" s="9">
        <v>19453</v>
      </c>
      <c r="B755" s="9" t="s">
        <v>123</v>
      </c>
      <c r="C755" s="9" t="s">
        <v>290</v>
      </c>
      <c r="D755" s="23"/>
      <c r="E755" s="42"/>
      <c r="F755" s="43"/>
      <c r="G755" s="42"/>
      <c r="H755" s="43"/>
      <c r="I755" s="25" t="s">
        <v>15</v>
      </c>
      <c r="J755" s="34" t="str">
        <f>IF(E755="","",raw_data!C747)</f>
        <v/>
      </c>
      <c r="K755" s="46"/>
      <c r="L755" s="87"/>
      <c r="M755" s="19" t="str">
        <f>IF(E755="","",raw_data!F747)</f>
        <v/>
      </c>
      <c r="N755" s="20" t="str">
        <f t="shared" si="28"/>
        <v/>
      </c>
      <c r="O755" s="90"/>
      <c r="P755" s="91"/>
      <c r="Q755" s="91"/>
      <c r="R755" s="91"/>
      <c r="S755" s="41" t="str">
        <f t="shared" si="27"/>
        <v/>
      </c>
    </row>
    <row r="756" spans="1:19" ht="15" customHeight="1" x14ac:dyDescent="0.2">
      <c r="A756" s="9">
        <v>19454</v>
      </c>
      <c r="B756" s="9" t="s">
        <v>123</v>
      </c>
      <c r="C756" s="9" t="s">
        <v>355</v>
      </c>
      <c r="D756" s="23"/>
      <c r="E756" s="42"/>
      <c r="F756" s="43"/>
      <c r="G756" s="42"/>
      <c r="H756" s="43"/>
      <c r="I756" s="25" t="s">
        <v>15</v>
      </c>
      <c r="J756" s="34" t="str">
        <f>IF(E756="","",raw_data!C748)</f>
        <v/>
      </c>
      <c r="K756" s="46"/>
      <c r="L756" s="87"/>
      <c r="M756" s="19" t="str">
        <f>IF(E756="","",raw_data!F748)</f>
        <v/>
      </c>
      <c r="N756" s="20" t="str">
        <f t="shared" si="28"/>
        <v/>
      </c>
      <c r="O756" s="90"/>
      <c r="P756" s="91"/>
      <c r="Q756" s="91"/>
      <c r="R756" s="91"/>
      <c r="S756" s="41" t="str">
        <f t="shared" si="27"/>
        <v/>
      </c>
    </row>
    <row r="757" spans="1:19" ht="15" customHeight="1" x14ac:dyDescent="0.2">
      <c r="A757" s="9">
        <v>19455</v>
      </c>
      <c r="B757" s="9" t="s">
        <v>123</v>
      </c>
      <c r="C757" s="9" t="s">
        <v>356</v>
      </c>
      <c r="D757" s="23"/>
      <c r="E757" s="42"/>
      <c r="F757" s="43"/>
      <c r="G757" s="42"/>
      <c r="H757" s="43"/>
      <c r="I757" s="25" t="s">
        <v>15</v>
      </c>
      <c r="J757" s="34" t="str">
        <f>IF(E757="","",raw_data!C749)</f>
        <v/>
      </c>
      <c r="K757" s="46"/>
      <c r="L757" s="87"/>
      <c r="M757" s="19" t="str">
        <f>IF(E757="","",raw_data!F749)</f>
        <v/>
      </c>
      <c r="N757" s="20" t="str">
        <f t="shared" si="28"/>
        <v/>
      </c>
      <c r="O757" s="90"/>
      <c r="P757" s="91"/>
      <c r="Q757" s="91"/>
      <c r="R757" s="91"/>
      <c r="S757" s="41" t="str">
        <f t="shared" si="27"/>
        <v/>
      </c>
    </row>
    <row r="758" spans="1:19" ht="15" customHeight="1" x14ac:dyDescent="0.2">
      <c r="A758" s="9">
        <v>19456</v>
      </c>
      <c r="B758" s="9" t="s">
        <v>123</v>
      </c>
      <c r="C758" s="9" t="s">
        <v>357</v>
      </c>
      <c r="D758" s="23"/>
      <c r="E758" s="42"/>
      <c r="F758" s="43"/>
      <c r="G758" s="42"/>
      <c r="H758" s="43"/>
      <c r="I758" s="25" t="s">
        <v>15</v>
      </c>
      <c r="J758" s="34" t="str">
        <f>IF(E758="","",raw_data!C750)</f>
        <v/>
      </c>
      <c r="K758" s="46"/>
      <c r="L758" s="87"/>
      <c r="M758" s="19" t="str">
        <f>IF(E758="","",raw_data!F750)</f>
        <v/>
      </c>
      <c r="N758" s="20" t="str">
        <f t="shared" si="28"/>
        <v/>
      </c>
      <c r="O758" s="90"/>
      <c r="P758" s="91"/>
      <c r="Q758" s="91"/>
      <c r="R758" s="91"/>
      <c r="S758" s="41" t="str">
        <f t="shared" si="27"/>
        <v/>
      </c>
    </row>
    <row r="759" spans="1:19" ht="15" customHeight="1" x14ac:dyDescent="0.2">
      <c r="A759" s="9">
        <v>19457</v>
      </c>
      <c r="B759" s="9" t="s">
        <v>123</v>
      </c>
      <c r="C759" s="9" t="s">
        <v>358</v>
      </c>
      <c r="D759" s="23"/>
      <c r="E759" s="42"/>
      <c r="F759" s="43"/>
      <c r="G759" s="42"/>
      <c r="H759" s="43"/>
      <c r="I759" s="25" t="s">
        <v>15</v>
      </c>
      <c r="J759" s="34" t="str">
        <f>IF(E759="","",raw_data!C751)</f>
        <v/>
      </c>
      <c r="K759" s="46"/>
      <c r="L759" s="87"/>
      <c r="M759" s="19" t="str">
        <f>IF(E759="","",raw_data!F751)</f>
        <v/>
      </c>
      <c r="N759" s="20" t="str">
        <f t="shared" si="28"/>
        <v/>
      </c>
      <c r="O759" s="90"/>
      <c r="P759" s="91"/>
      <c r="Q759" s="91"/>
      <c r="R759" s="91"/>
      <c r="S759" s="41" t="str">
        <f t="shared" si="27"/>
        <v/>
      </c>
    </row>
    <row r="760" spans="1:19" ht="15" customHeight="1" x14ac:dyDescent="0.2">
      <c r="A760" s="9">
        <v>19458</v>
      </c>
      <c r="B760" s="9" t="s">
        <v>123</v>
      </c>
      <c r="C760" s="9" t="s">
        <v>359</v>
      </c>
      <c r="D760" s="23"/>
      <c r="E760" s="42"/>
      <c r="F760" s="43"/>
      <c r="G760" s="42"/>
      <c r="H760" s="43"/>
      <c r="I760" s="25" t="s">
        <v>15</v>
      </c>
      <c r="J760" s="34" t="str">
        <f>IF(E760="","",raw_data!C752)</f>
        <v/>
      </c>
      <c r="K760" s="46"/>
      <c r="L760" s="87"/>
      <c r="M760" s="19" t="str">
        <f>IF(E760="","",raw_data!F752)</f>
        <v/>
      </c>
      <c r="N760" s="20" t="str">
        <f t="shared" si="28"/>
        <v/>
      </c>
      <c r="O760" s="90"/>
      <c r="P760" s="91"/>
      <c r="Q760" s="91"/>
      <c r="R760" s="91"/>
      <c r="S760" s="41" t="str">
        <f t="shared" si="27"/>
        <v/>
      </c>
    </row>
    <row r="761" spans="1:19" ht="15" customHeight="1" x14ac:dyDescent="0.2">
      <c r="A761" s="9">
        <v>19459</v>
      </c>
      <c r="B761" s="9" t="s">
        <v>123</v>
      </c>
      <c r="C761" s="9" t="s">
        <v>360</v>
      </c>
      <c r="D761" s="23"/>
      <c r="E761" s="42"/>
      <c r="F761" s="43"/>
      <c r="G761" s="42"/>
      <c r="H761" s="43"/>
      <c r="I761" s="25" t="s">
        <v>15</v>
      </c>
      <c r="J761" s="34" t="str">
        <f>IF(E761="","",raw_data!C753)</f>
        <v/>
      </c>
      <c r="K761" s="46"/>
      <c r="L761" s="87"/>
      <c r="M761" s="19" t="str">
        <f>IF(E761="","",raw_data!F753)</f>
        <v/>
      </c>
      <c r="N761" s="20" t="str">
        <f t="shared" si="28"/>
        <v/>
      </c>
      <c r="O761" s="90"/>
      <c r="P761" s="91"/>
      <c r="Q761" s="91"/>
      <c r="R761" s="91"/>
      <c r="S761" s="41" t="str">
        <f t="shared" si="27"/>
        <v/>
      </c>
    </row>
    <row r="762" spans="1:19" ht="15" customHeight="1" x14ac:dyDescent="0.2">
      <c r="A762" s="9">
        <v>19460</v>
      </c>
      <c r="B762" s="9" t="s">
        <v>123</v>
      </c>
      <c r="C762" s="9" t="s">
        <v>361</v>
      </c>
      <c r="D762" s="23"/>
      <c r="E762" s="42"/>
      <c r="F762" s="43"/>
      <c r="G762" s="42"/>
      <c r="H762" s="43"/>
      <c r="I762" s="25" t="s">
        <v>15</v>
      </c>
      <c r="J762" s="34" t="str">
        <f>IF(E762="","",raw_data!C754)</f>
        <v/>
      </c>
      <c r="K762" s="46"/>
      <c r="L762" s="87"/>
      <c r="M762" s="19" t="str">
        <f>IF(E762="","",raw_data!F754)</f>
        <v/>
      </c>
      <c r="N762" s="20" t="str">
        <f t="shared" si="28"/>
        <v/>
      </c>
      <c r="O762" s="90"/>
      <c r="P762" s="91"/>
      <c r="Q762" s="91"/>
      <c r="R762" s="91"/>
      <c r="S762" s="41" t="str">
        <f t="shared" si="27"/>
        <v/>
      </c>
    </row>
    <row r="763" spans="1:19" ht="15" customHeight="1" x14ac:dyDescent="0.2">
      <c r="A763" s="9">
        <v>19461</v>
      </c>
      <c r="B763" s="9" t="s">
        <v>123</v>
      </c>
      <c r="C763" s="9" t="s">
        <v>362</v>
      </c>
      <c r="D763" s="23"/>
      <c r="E763" s="42"/>
      <c r="F763" s="43"/>
      <c r="G763" s="42"/>
      <c r="H763" s="43"/>
      <c r="I763" s="25" t="s">
        <v>15</v>
      </c>
      <c r="J763" s="34" t="str">
        <f>IF(E763="","",raw_data!C755)</f>
        <v/>
      </c>
      <c r="K763" s="46"/>
      <c r="L763" s="87"/>
      <c r="M763" s="19" t="str">
        <f>IF(E763="","",raw_data!F755)</f>
        <v/>
      </c>
      <c r="N763" s="20" t="str">
        <f t="shared" si="28"/>
        <v/>
      </c>
      <c r="O763" s="90"/>
      <c r="P763" s="91"/>
      <c r="Q763" s="91"/>
      <c r="R763" s="91"/>
      <c r="S763" s="41" t="str">
        <f t="shared" si="27"/>
        <v/>
      </c>
    </row>
    <row r="764" spans="1:19" ht="15" customHeight="1" x14ac:dyDescent="0.2">
      <c r="A764" s="9">
        <v>19462</v>
      </c>
      <c r="B764" s="9" t="s">
        <v>123</v>
      </c>
      <c r="C764" s="9" t="s">
        <v>363</v>
      </c>
      <c r="D764" s="23"/>
      <c r="E764" s="42"/>
      <c r="F764" s="43"/>
      <c r="G764" s="42"/>
      <c r="H764" s="43"/>
      <c r="I764" s="25" t="s">
        <v>15</v>
      </c>
      <c r="J764" s="34" t="str">
        <f>IF(E764="","",raw_data!C756)</f>
        <v/>
      </c>
      <c r="K764" s="46"/>
      <c r="L764" s="87"/>
      <c r="M764" s="19" t="str">
        <f>IF(E764="","",raw_data!F756)</f>
        <v/>
      </c>
      <c r="N764" s="20" t="str">
        <f t="shared" si="28"/>
        <v/>
      </c>
      <c r="O764" s="90"/>
      <c r="P764" s="91"/>
      <c r="Q764" s="91"/>
      <c r="R764" s="91"/>
      <c r="S764" s="41" t="str">
        <f t="shared" si="27"/>
        <v/>
      </c>
    </row>
    <row r="765" spans="1:19" ht="15" customHeight="1" x14ac:dyDescent="0.2">
      <c r="A765" s="9">
        <v>19463</v>
      </c>
      <c r="B765" s="9" t="s">
        <v>123</v>
      </c>
      <c r="C765" s="9" t="s">
        <v>246</v>
      </c>
      <c r="D765" s="23"/>
      <c r="E765" s="42"/>
      <c r="F765" s="43"/>
      <c r="G765" s="42"/>
      <c r="H765" s="43"/>
      <c r="I765" s="25" t="s">
        <v>15</v>
      </c>
      <c r="J765" s="34" t="str">
        <f>IF(E765="","",raw_data!C757)</f>
        <v/>
      </c>
      <c r="K765" s="46"/>
      <c r="L765" s="87"/>
      <c r="M765" s="19" t="str">
        <f>IF(E765="","",raw_data!F757)</f>
        <v/>
      </c>
      <c r="N765" s="20" t="str">
        <f t="shared" si="28"/>
        <v/>
      </c>
      <c r="O765" s="90"/>
      <c r="P765" s="91"/>
      <c r="Q765" s="91"/>
      <c r="R765" s="91"/>
      <c r="S765" s="41" t="str">
        <f t="shared" si="27"/>
        <v/>
      </c>
    </row>
    <row r="766" spans="1:19" ht="15" customHeight="1" x14ac:dyDescent="0.2">
      <c r="A766" s="9">
        <v>19464</v>
      </c>
      <c r="B766" s="9" t="s">
        <v>123</v>
      </c>
      <c r="C766" s="9" t="s">
        <v>247</v>
      </c>
      <c r="D766" s="23"/>
      <c r="E766" s="42"/>
      <c r="F766" s="43"/>
      <c r="G766" s="42"/>
      <c r="H766" s="43"/>
      <c r="I766" s="25" t="s">
        <v>15</v>
      </c>
      <c r="J766" s="34" t="str">
        <f>IF(E766="","",raw_data!C758)</f>
        <v/>
      </c>
      <c r="K766" s="46"/>
      <c r="L766" s="87"/>
      <c r="M766" s="19" t="str">
        <f>IF(E766="","",raw_data!F758)</f>
        <v/>
      </c>
      <c r="N766" s="20" t="str">
        <f t="shared" si="28"/>
        <v/>
      </c>
      <c r="O766" s="90"/>
      <c r="P766" s="91"/>
      <c r="Q766" s="91"/>
      <c r="R766" s="91"/>
      <c r="S766" s="41" t="str">
        <f t="shared" si="27"/>
        <v/>
      </c>
    </row>
    <row r="767" spans="1:19" ht="15" customHeight="1" x14ac:dyDescent="0.2">
      <c r="A767" s="9">
        <v>19465</v>
      </c>
      <c r="B767" s="9" t="s">
        <v>123</v>
      </c>
      <c r="C767" s="9" t="s">
        <v>248</v>
      </c>
      <c r="D767" s="23"/>
      <c r="E767" s="42"/>
      <c r="F767" s="43"/>
      <c r="G767" s="42"/>
      <c r="H767" s="43"/>
      <c r="I767" s="25" t="s">
        <v>15</v>
      </c>
      <c r="J767" s="34" t="str">
        <f>IF(E767="","",raw_data!C759)</f>
        <v/>
      </c>
      <c r="K767" s="46"/>
      <c r="L767" s="87"/>
      <c r="M767" s="19" t="str">
        <f>IF(E767="","",raw_data!F759)</f>
        <v/>
      </c>
      <c r="N767" s="20" t="str">
        <f t="shared" si="28"/>
        <v/>
      </c>
      <c r="O767" s="90"/>
      <c r="P767" s="91"/>
      <c r="Q767" s="91"/>
      <c r="R767" s="91"/>
      <c r="S767" s="41" t="str">
        <f t="shared" si="27"/>
        <v/>
      </c>
    </row>
    <row r="768" spans="1:19" ht="15" customHeight="1" x14ac:dyDescent="0.2">
      <c r="A768" s="9">
        <v>19466</v>
      </c>
      <c r="B768" s="9" t="s">
        <v>123</v>
      </c>
      <c r="C768" s="9" t="s">
        <v>9</v>
      </c>
      <c r="D768" s="23"/>
      <c r="E768" s="42">
        <v>1</v>
      </c>
      <c r="F768" s="43"/>
      <c r="G768" s="42" t="s">
        <v>155</v>
      </c>
      <c r="H768" s="43"/>
      <c r="I768" s="25" t="s">
        <v>15</v>
      </c>
      <c r="J768" s="34">
        <f>IF(E768="","",raw_data!C760)</f>
        <v>0</v>
      </c>
      <c r="K768" s="46"/>
      <c r="L768" s="87"/>
      <c r="M768" s="19">
        <f>IF(E768="","",raw_data!F760)</f>
        <v>0</v>
      </c>
      <c r="N768" s="20" t="str">
        <f t="shared" si="28"/>
        <v>-</v>
      </c>
      <c r="O768" s="90"/>
      <c r="P768" s="91"/>
      <c r="Q768" s="91"/>
      <c r="R768" s="91"/>
      <c r="S768" s="41" t="str">
        <f t="shared" si="27"/>
        <v>erfüllt</v>
      </c>
    </row>
    <row r="769" spans="1:19" ht="15" customHeight="1" x14ac:dyDescent="0.2">
      <c r="A769" s="9">
        <v>19467</v>
      </c>
      <c r="B769" s="9" t="s">
        <v>123</v>
      </c>
      <c r="C769" s="9" t="s">
        <v>241</v>
      </c>
      <c r="D769" s="23"/>
      <c r="E769" s="42">
        <v>1</v>
      </c>
      <c r="F769" s="43"/>
      <c r="G769" s="42" t="s">
        <v>155</v>
      </c>
      <c r="H769" s="43"/>
      <c r="I769" s="25" t="s">
        <v>15</v>
      </c>
      <c r="J769" s="34">
        <f>IF(E769="","",raw_data!C761)</f>
        <v>0</v>
      </c>
      <c r="K769" s="46"/>
      <c r="L769" s="87"/>
      <c r="M769" s="19">
        <f>IF(E769="","",raw_data!F761)</f>
        <v>0</v>
      </c>
      <c r="N769" s="20" t="str">
        <f t="shared" si="28"/>
        <v>-</v>
      </c>
      <c r="O769" s="90"/>
      <c r="P769" s="91"/>
      <c r="Q769" s="91"/>
      <c r="R769" s="91"/>
      <c r="S769" s="41" t="str">
        <f t="shared" si="27"/>
        <v>erfüllt</v>
      </c>
    </row>
    <row r="770" spans="1:19" ht="15" customHeight="1" x14ac:dyDescent="0.2">
      <c r="A770" s="9">
        <v>19468</v>
      </c>
      <c r="B770" s="9" t="s">
        <v>123</v>
      </c>
      <c r="C770" s="9" t="s">
        <v>300</v>
      </c>
      <c r="D770" s="23"/>
      <c r="E770" s="42"/>
      <c r="F770" s="43"/>
      <c r="G770" s="42"/>
      <c r="H770" s="43"/>
      <c r="I770" s="25" t="s">
        <v>15</v>
      </c>
      <c r="J770" s="34" t="str">
        <f>IF(E770="","",raw_data!C762)</f>
        <v/>
      </c>
      <c r="K770" s="46"/>
      <c r="L770" s="87"/>
      <c r="M770" s="19" t="str">
        <f>IF(E770="","",raw_data!F762)</f>
        <v/>
      </c>
      <c r="N770" s="20" t="str">
        <f t="shared" si="28"/>
        <v/>
      </c>
      <c r="O770" s="90"/>
      <c r="P770" s="91"/>
      <c r="Q770" s="91"/>
      <c r="R770" s="91"/>
      <c r="S770" s="41" t="str">
        <f t="shared" si="27"/>
        <v/>
      </c>
    </row>
    <row r="771" spans="1:19" ht="15" customHeight="1" x14ac:dyDescent="0.2">
      <c r="A771" s="9">
        <v>19469</v>
      </c>
      <c r="B771" s="9" t="s">
        <v>123</v>
      </c>
      <c r="C771" s="9" t="s">
        <v>291</v>
      </c>
      <c r="D771" s="23"/>
      <c r="E771" s="42">
        <v>1</v>
      </c>
      <c r="F771" s="43"/>
      <c r="G771" s="42" t="s">
        <v>155</v>
      </c>
      <c r="H771" s="43"/>
      <c r="I771" s="25" t="s">
        <v>15</v>
      </c>
      <c r="J771" s="34">
        <f>IF(E771="","",raw_data!C763)</f>
        <v>0</v>
      </c>
      <c r="K771" s="46"/>
      <c r="L771" s="87"/>
      <c r="M771" s="19">
        <f>IF(E771="","",raw_data!F763)</f>
        <v>0</v>
      </c>
      <c r="N771" s="20" t="str">
        <f t="shared" si="28"/>
        <v>-</v>
      </c>
      <c r="O771" s="90"/>
      <c r="P771" s="91"/>
      <c r="Q771" s="91"/>
      <c r="R771" s="91"/>
      <c r="S771" s="41" t="str">
        <f t="shared" si="27"/>
        <v>erfüllt</v>
      </c>
    </row>
    <row r="772" spans="1:19" ht="15" customHeight="1" x14ac:dyDescent="0.2">
      <c r="A772" s="9">
        <v>19470</v>
      </c>
      <c r="B772" s="9" t="s">
        <v>123</v>
      </c>
      <c r="C772" s="9" t="s">
        <v>114</v>
      </c>
      <c r="D772" s="23"/>
      <c r="E772" s="42">
        <v>1</v>
      </c>
      <c r="F772" s="43"/>
      <c r="G772" s="42" t="s">
        <v>155</v>
      </c>
      <c r="H772" s="43"/>
      <c r="I772" s="25" t="s">
        <v>15</v>
      </c>
      <c r="J772" s="34">
        <f>IF(E772="","",raw_data!C764)</f>
        <v>0</v>
      </c>
      <c r="K772" s="46"/>
      <c r="L772" s="87"/>
      <c r="M772" s="19">
        <f>IF(E772="","",raw_data!F764)</f>
        <v>0</v>
      </c>
      <c r="N772" s="20" t="str">
        <f t="shared" si="28"/>
        <v>-</v>
      </c>
      <c r="O772" s="90"/>
      <c r="P772" s="91"/>
      <c r="Q772" s="91"/>
      <c r="R772" s="91"/>
      <c r="S772" s="41" t="str">
        <f t="shared" si="27"/>
        <v>erfüllt</v>
      </c>
    </row>
    <row r="773" spans="1:19" ht="15" customHeight="1" x14ac:dyDescent="0.2">
      <c r="A773" s="9">
        <v>19471</v>
      </c>
      <c r="B773" s="9" t="s">
        <v>123</v>
      </c>
      <c r="C773" s="9" t="s">
        <v>292</v>
      </c>
      <c r="D773" s="23"/>
      <c r="E773" s="42">
        <v>1</v>
      </c>
      <c r="F773" s="43"/>
      <c r="G773" s="42" t="s">
        <v>155</v>
      </c>
      <c r="H773" s="43"/>
      <c r="I773" s="25" t="s">
        <v>15</v>
      </c>
      <c r="J773" s="34">
        <f>IF(E773="","",raw_data!C765)</f>
        <v>0</v>
      </c>
      <c r="K773" s="46"/>
      <c r="L773" s="87"/>
      <c r="M773" s="19">
        <f>IF(E773="","",raw_data!F765)</f>
        <v>0</v>
      </c>
      <c r="N773" s="20" t="str">
        <f t="shared" si="28"/>
        <v>-</v>
      </c>
      <c r="O773" s="90"/>
      <c r="P773" s="91"/>
      <c r="Q773" s="91"/>
      <c r="R773" s="91"/>
      <c r="S773" s="41" t="str">
        <f t="shared" si="27"/>
        <v>erfüllt</v>
      </c>
    </row>
    <row r="774" spans="1:19" ht="15" customHeight="1" x14ac:dyDescent="0.2">
      <c r="A774" s="9">
        <v>19472</v>
      </c>
      <c r="B774" s="9" t="s">
        <v>123</v>
      </c>
      <c r="C774" s="9" t="s">
        <v>79</v>
      </c>
      <c r="D774" s="23"/>
      <c r="E774" s="42"/>
      <c r="F774" s="43"/>
      <c r="G774" s="42"/>
      <c r="H774" s="43"/>
      <c r="I774" s="25" t="s">
        <v>15</v>
      </c>
      <c r="J774" s="34" t="str">
        <f>IF(E774="","",raw_data!C766)</f>
        <v/>
      </c>
      <c r="K774" s="46"/>
      <c r="L774" s="87"/>
      <c r="M774" s="19" t="str">
        <f>IF(E774="","",raw_data!F766)</f>
        <v/>
      </c>
      <c r="N774" s="20" t="str">
        <f t="shared" si="28"/>
        <v/>
      </c>
      <c r="O774" s="90"/>
      <c r="P774" s="91"/>
      <c r="Q774" s="91"/>
      <c r="R774" s="91"/>
      <c r="S774" s="41" t="str">
        <f t="shared" si="27"/>
        <v/>
      </c>
    </row>
    <row r="775" spans="1:19" ht="15" customHeight="1" x14ac:dyDescent="0.2">
      <c r="A775" s="9">
        <v>19473</v>
      </c>
      <c r="B775" s="9" t="s">
        <v>123</v>
      </c>
      <c r="C775" s="9" t="s">
        <v>242</v>
      </c>
      <c r="D775" s="23"/>
      <c r="E775" s="42">
        <v>1</v>
      </c>
      <c r="F775" s="43"/>
      <c r="G775" s="42" t="s">
        <v>155</v>
      </c>
      <c r="H775" s="43"/>
      <c r="I775" s="25" t="s">
        <v>15</v>
      </c>
      <c r="J775" s="34">
        <f>IF(E775="","",raw_data!C767)</f>
        <v>0</v>
      </c>
      <c r="K775" s="46"/>
      <c r="L775" s="87"/>
      <c r="M775" s="19">
        <f>IF(E775="","",raw_data!F767)</f>
        <v>0</v>
      </c>
      <c r="N775" s="20" t="str">
        <f t="shared" si="28"/>
        <v>-</v>
      </c>
      <c r="O775" s="90"/>
      <c r="P775" s="91"/>
      <c r="Q775" s="91"/>
      <c r="R775" s="91"/>
      <c r="S775" s="41" t="str">
        <f t="shared" si="27"/>
        <v>erfüllt</v>
      </c>
    </row>
    <row r="776" spans="1:19" ht="15" customHeight="1" x14ac:dyDescent="0.2">
      <c r="A776" s="9">
        <v>19474</v>
      </c>
      <c r="B776" s="9" t="s">
        <v>123</v>
      </c>
      <c r="C776" s="9" t="s">
        <v>80</v>
      </c>
      <c r="D776" s="23"/>
      <c r="E776" s="42">
        <v>1</v>
      </c>
      <c r="F776" s="43"/>
      <c r="G776" s="42" t="s">
        <v>155</v>
      </c>
      <c r="H776" s="43"/>
      <c r="I776" s="25" t="s">
        <v>15</v>
      </c>
      <c r="J776" s="34">
        <f>IF(E776="","",raw_data!C768)</f>
        <v>0</v>
      </c>
      <c r="K776" s="46"/>
      <c r="L776" s="87"/>
      <c r="M776" s="19">
        <f>IF(E776="","",raw_data!F768)</f>
        <v>0</v>
      </c>
      <c r="N776" s="20" t="str">
        <f t="shared" si="28"/>
        <v>-</v>
      </c>
      <c r="O776" s="90"/>
      <c r="P776" s="91"/>
      <c r="Q776" s="91"/>
      <c r="R776" s="91"/>
      <c r="S776" s="41" t="str">
        <f t="shared" si="27"/>
        <v>erfüllt</v>
      </c>
    </row>
    <row r="777" spans="1:19" ht="15" customHeight="1" x14ac:dyDescent="0.2">
      <c r="A777" s="9">
        <v>19475</v>
      </c>
      <c r="B777" s="9" t="s">
        <v>123</v>
      </c>
      <c r="C777" s="9" t="s">
        <v>104</v>
      </c>
      <c r="D777" s="23"/>
      <c r="E777" s="42">
        <v>1</v>
      </c>
      <c r="F777" s="43"/>
      <c r="G777" s="42" t="s">
        <v>155</v>
      </c>
      <c r="H777" s="43"/>
      <c r="I777" s="25" t="s">
        <v>15</v>
      </c>
      <c r="J777" s="34">
        <f>IF(E777="","",raw_data!C769)</f>
        <v>0</v>
      </c>
      <c r="K777" s="46"/>
      <c r="L777" s="87"/>
      <c r="M777" s="19">
        <f>IF(E777="","",raw_data!F769)</f>
        <v>0</v>
      </c>
      <c r="N777" s="20" t="str">
        <f t="shared" si="28"/>
        <v>-</v>
      </c>
      <c r="O777" s="90"/>
      <c r="P777" s="91"/>
      <c r="Q777" s="91"/>
      <c r="R777" s="91"/>
      <c r="S777" s="41" t="str">
        <f t="shared" si="27"/>
        <v>erfüllt</v>
      </c>
    </row>
    <row r="778" spans="1:19" ht="15" customHeight="1" x14ac:dyDescent="0.2">
      <c r="A778" s="9">
        <v>19476</v>
      </c>
      <c r="B778" s="9" t="s">
        <v>123</v>
      </c>
      <c r="C778" s="9" t="s">
        <v>81</v>
      </c>
      <c r="D778" s="23"/>
      <c r="E778" s="42">
        <v>1</v>
      </c>
      <c r="F778" s="43"/>
      <c r="G778" s="42" t="s">
        <v>155</v>
      </c>
      <c r="H778" s="43"/>
      <c r="I778" s="25" t="s">
        <v>15</v>
      </c>
      <c r="J778" s="34">
        <f>IF(E778="","",raw_data!C770)</f>
        <v>0</v>
      </c>
      <c r="K778" s="46"/>
      <c r="L778" s="87"/>
      <c r="M778" s="19">
        <f>IF(E778="","",raw_data!F770)</f>
        <v>0</v>
      </c>
      <c r="N778" s="20" t="str">
        <f t="shared" si="28"/>
        <v>-</v>
      </c>
      <c r="O778" s="90"/>
      <c r="P778" s="91"/>
      <c r="Q778" s="91"/>
      <c r="R778" s="91"/>
      <c r="S778" s="41" t="str">
        <f t="shared" ref="S778:S826" si="29">IF(E778="","",IF(OR(NOT(ISNUMBER(N778)),N778&lt;=(1-E778)),"erfüllt",IF(G778="Fehler","mit Fehler",IF(G778="Warnung","mit Warnung",""))))</f>
        <v>erfüllt</v>
      </c>
    </row>
    <row r="779" spans="1:19" ht="15" customHeight="1" x14ac:dyDescent="0.2">
      <c r="A779" s="9">
        <v>19477</v>
      </c>
      <c r="B779" s="9" t="s">
        <v>123</v>
      </c>
      <c r="C779" s="9" t="s">
        <v>193</v>
      </c>
      <c r="D779" s="23"/>
      <c r="E779" s="42">
        <v>1</v>
      </c>
      <c r="F779" s="43"/>
      <c r="G779" s="42" t="s">
        <v>155</v>
      </c>
      <c r="H779" s="43"/>
      <c r="I779" s="25" t="s">
        <v>15</v>
      </c>
      <c r="J779" s="34">
        <f>IF(E779="","",raw_data!C771)</f>
        <v>0</v>
      </c>
      <c r="K779" s="46"/>
      <c r="L779" s="87"/>
      <c r="M779" s="19">
        <f>IF(E779="","",raw_data!F771)</f>
        <v>0</v>
      </c>
      <c r="N779" s="20" t="str">
        <f t="shared" ref="N779:N826" si="30">IF(E779="","",IFERROR(M779/J779,"-"))</f>
        <v>-</v>
      </c>
      <c r="O779" s="90"/>
      <c r="P779" s="91"/>
      <c r="Q779" s="91"/>
      <c r="R779" s="91"/>
      <c r="S779" s="41" t="str">
        <f t="shared" si="29"/>
        <v>erfüllt</v>
      </c>
    </row>
    <row r="780" spans="1:19" ht="15" customHeight="1" x14ac:dyDescent="0.2">
      <c r="A780" s="9">
        <v>19478</v>
      </c>
      <c r="B780" s="9" t="s">
        <v>123</v>
      </c>
      <c r="C780" s="9" t="s">
        <v>56</v>
      </c>
      <c r="D780" s="23"/>
      <c r="E780" s="42">
        <v>1</v>
      </c>
      <c r="F780" s="43"/>
      <c r="G780" s="42" t="s">
        <v>155</v>
      </c>
      <c r="H780" s="43"/>
      <c r="I780" s="25" t="s">
        <v>15</v>
      </c>
      <c r="J780" s="34">
        <f>IF(E780="","",raw_data!C772)</f>
        <v>0</v>
      </c>
      <c r="K780" s="46"/>
      <c r="L780" s="87"/>
      <c r="M780" s="19">
        <f>IF(E780="","",raw_data!F772)</f>
        <v>0</v>
      </c>
      <c r="N780" s="20" t="str">
        <f t="shared" si="30"/>
        <v>-</v>
      </c>
      <c r="O780" s="90"/>
      <c r="P780" s="91"/>
      <c r="Q780" s="91"/>
      <c r="R780" s="91"/>
      <c r="S780" s="41" t="str">
        <f t="shared" si="29"/>
        <v>erfüllt</v>
      </c>
    </row>
    <row r="781" spans="1:19" ht="15" customHeight="1" x14ac:dyDescent="0.2">
      <c r="A781" s="9">
        <v>19479</v>
      </c>
      <c r="B781" s="9" t="s">
        <v>124</v>
      </c>
      <c r="C781" s="9" t="s">
        <v>77</v>
      </c>
      <c r="D781" s="23"/>
      <c r="E781" s="42"/>
      <c r="F781" s="43"/>
      <c r="G781" s="42"/>
      <c r="H781" s="43"/>
      <c r="I781" s="25" t="s">
        <v>15</v>
      </c>
      <c r="J781" s="34" t="str">
        <f>IF(E781="","",raw_data!C773)</f>
        <v/>
      </c>
      <c r="K781" s="46"/>
      <c r="L781" s="87"/>
      <c r="M781" s="19" t="str">
        <f>IF(E781="","",raw_data!F773)</f>
        <v/>
      </c>
      <c r="N781" s="20" t="str">
        <f t="shared" si="30"/>
        <v/>
      </c>
      <c r="O781" s="90"/>
      <c r="P781" s="91"/>
      <c r="Q781" s="91"/>
      <c r="R781" s="91"/>
      <c r="S781" s="41" t="str">
        <f t="shared" si="29"/>
        <v/>
      </c>
    </row>
    <row r="782" spans="1:19" ht="15" customHeight="1" x14ac:dyDescent="0.2">
      <c r="A782" s="9">
        <v>19480</v>
      </c>
      <c r="B782" s="9" t="s">
        <v>124</v>
      </c>
      <c r="C782" s="9" t="s">
        <v>19</v>
      </c>
      <c r="D782" s="23"/>
      <c r="E782" s="42"/>
      <c r="F782" s="43"/>
      <c r="G782" s="42"/>
      <c r="H782" s="43"/>
      <c r="I782" s="25" t="s">
        <v>15</v>
      </c>
      <c r="J782" s="34" t="str">
        <f>IF(E782="","",raw_data!C774)</f>
        <v/>
      </c>
      <c r="K782" s="46"/>
      <c r="L782" s="87"/>
      <c r="M782" s="19" t="str">
        <f>IF(E782="","",raw_data!F774)</f>
        <v/>
      </c>
      <c r="N782" s="20" t="str">
        <f t="shared" si="30"/>
        <v/>
      </c>
      <c r="O782" s="90"/>
      <c r="P782" s="91"/>
      <c r="Q782" s="91"/>
      <c r="R782" s="91"/>
      <c r="S782" s="41" t="str">
        <f t="shared" si="29"/>
        <v/>
      </c>
    </row>
    <row r="783" spans="1:19" ht="15" customHeight="1" x14ac:dyDescent="0.2">
      <c r="A783" s="9">
        <v>19481</v>
      </c>
      <c r="B783" s="9" t="s">
        <v>124</v>
      </c>
      <c r="C783" s="9" t="s">
        <v>125</v>
      </c>
      <c r="D783" s="23"/>
      <c r="E783" s="42">
        <v>1</v>
      </c>
      <c r="F783" s="43"/>
      <c r="G783" s="42" t="s">
        <v>155</v>
      </c>
      <c r="H783" s="43"/>
      <c r="I783" s="25" t="s">
        <v>15</v>
      </c>
      <c r="J783" s="34">
        <f>IF(E783="","",raw_data!C775)</f>
        <v>0</v>
      </c>
      <c r="K783" s="46"/>
      <c r="L783" s="87"/>
      <c r="M783" s="19">
        <f>IF(E783="","",raw_data!F775)</f>
        <v>0</v>
      </c>
      <c r="N783" s="20" t="str">
        <f t="shared" si="30"/>
        <v>-</v>
      </c>
      <c r="O783" s="90"/>
      <c r="P783" s="91"/>
      <c r="Q783" s="91"/>
      <c r="R783" s="91"/>
      <c r="S783" s="41" t="str">
        <f t="shared" si="29"/>
        <v>erfüllt</v>
      </c>
    </row>
    <row r="784" spans="1:19" ht="15" customHeight="1" x14ac:dyDescent="0.2">
      <c r="A784" s="9">
        <v>19482</v>
      </c>
      <c r="B784" s="9" t="s">
        <v>124</v>
      </c>
      <c r="C784" s="9" t="s">
        <v>240</v>
      </c>
      <c r="D784" s="23"/>
      <c r="E784" s="42">
        <v>1</v>
      </c>
      <c r="F784" s="43"/>
      <c r="G784" s="42" t="s">
        <v>155</v>
      </c>
      <c r="H784" s="43"/>
      <c r="I784" s="25" t="s">
        <v>15</v>
      </c>
      <c r="J784" s="34">
        <f>IF(E784="","",raw_data!C776)</f>
        <v>0</v>
      </c>
      <c r="K784" s="46"/>
      <c r="L784" s="87"/>
      <c r="M784" s="19">
        <f>IF(E784="","",raw_data!F776)</f>
        <v>0</v>
      </c>
      <c r="N784" s="20" t="str">
        <f t="shared" si="30"/>
        <v>-</v>
      </c>
      <c r="O784" s="90"/>
      <c r="P784" s="91"/>
      <c r="Q784" s="91"/>
      <c r="R784" s="91"/>
      <c r="S784" s="41" t="str">
        <f t="shared" si="29"/>
        <v>erfüllt</v>
      </c>
    </row>
    <row r="785" spans="1:19" ht="15" customHeight="1" x14ac:dyDescent="0.2">
      <c r="A785" s="9">
        <v>19483</v>
      </c>
      <c r="B785" s="9" t="s">
        <v>124</v>
      </c>
      <c r="C785" s="9" t="s">
        <v>160</v>
      </c>
      <c r="D785" s="23"/>
      <c r="E785" s="42"/>
      <c r="F785" s="43"/>
      <c r="G785" s="42"/>
      <c r="H785" s="43"/>
      <c r="I785" s="25" t="s">
        <v>15</v>
      </c>
      <c r="J785" s="34" t="str">
        <f>IF(E785="","",raw_data!C777)</f>
        <v/>
      </c>
      <c r="K785" s="46"/>
      <c r="L785" s="87"/>
      <c r="M785" s="19" t="str">
        <f>IF(E785="","",raw_data!F777)</f>
        <v/>
      </c>
      <c r="N785" s="20" t="str">
        <f t="shared" si="30"/>
        <v/>
      </c>
      <c r="O785" s="90"/>
      <c r="P785" s="91"/>
      <c r="Q785" s="91"/>
      <c r="R785" s="91"/>
      <c r="S785" s="41" t="str">
        <f t="shared" si="29"/>
        <v/>
      </c>
    </row>
    <row r="786" spans="1:19" ht="15" customHeight="1" x14ac:dyDescent="0.2">
      <c r="A786" s="9">
        <v>19484</v>
      </c>
      <c r="B786" s="9" t="s">
        <v>124</v>
      </c>
      <c r="C786" s="9" t="s">
        <v>161</v>
      </c>
      <c r="D786" s="23"/>
      <c r="E786" s="42"/>
      <c r="F786" s="43"/>
      <c r="G786" s="42"/>
      <c r="H786" s="43"/>
      <c r="I786" s="25" t="s">
        <v>15</v>
      </c>
      <c r="J786" s="34" t="str">
        <f>IF(E786="","",raw_data!C778)</f>
        <v/>
      </c>
      <c r="K786" s="46"/>
      <c r="L786" s="87"/>
      <c r="M786" s="19" t="str">
        <f>IF(E786="","",raw_data!F778)</f>
        <v/>
      </c>
      <c r="N786" s="20" t="str">
        <f t="shared" si="30"/>
        <v/>
      </c>
      <c r="O786" s="90"/>
      <c r="P786" s="91"/>
      <c r="Q786" s="91"/>
      <c r="R786" s="91"/>
      <c r="S786" s="41" t="str">
        <f t="shared" si="29"/>
        <v/>
      </c>
    </row>
    <row r="787" spans="1:19" ht="15" customHeight="1" x14ac:dyDescent="0.2">
      <c r="A787" s="9">
        <v>19485</v>
      </c>
      <c r="B787" s="9" t="s">
        <v>124</v>
      </c>
      <c r="C787" s="9" t="s">
        <v>346</v>
      </c>
      <c r="D787" s="23"/>
      <c r="E787" s="42"/>
      <c r="F787" s="43"/>
      <c r="G787" s="42"/>
      <c r="H787" s="43"/>
      <c r="I787" s="25" t="s">
        <v>15</v>
      </c>
      <c r="J787" s="34" t="str">
        <f>IF(E787="","",raw_data!C779)</f>
        <v/>
      </c>
      <c r="K787" s="46"/>
      <c r="L787" s="87"/>
      <c r="M787" s="19" t="str">
        <f>IF(E787="","",raw_data!F779)</f>
        <v/>
      </c>
      <c r="N787" s="20" t="str">
        <f t="shared" si="30"/>
        <v/>
      </c>
      <c r="O787" s="90"/>
      <c r="P787" s="91"/>
      <c r="Q787" s="91"/>
      <c r="R787" s="91"/>
      <c r="S787" s="41" t="str">
        <f t="shared" si="29"/>
        <v/>
      </c>
    </row>
    <row r="788" spans="1:19" ht="15" customHeight="1" x14ac:dyDescent="0.2">
      <c r="A788" s="9">
        <v>19486</v>
      </c>
      <c r="B788" s="9" t="s">
        <v>124</v>
      </c>
      <c r="C788" s="9" t="s">
        <v>347</v>
      </c>
      <c r="D788" s="23"/>
      <c r="E788" s="42"/>
      <c r="F788" s="43"/>
      <c r="G788" s="42"/>
      <c r="H788" s="43"/>
      <c r="I788" s="25" t="s">
        <v>15</v>
      </c>
      <c r="J788" s="34" t="str">
        <f>IF(E788="","",raw_data!C780)</f>
        <v/>
      </c>
      <c r="K788" s="46"/>
      <c r="L788" s="87"/>
      <c r="M788" s="19" t="str">
        <f>IF(E788="","",raw_data!F780)</f>
        <v/>
      </c>
      <c r="N788" s="20" t="str">
        <f t="shared" si="30"/>
        <v/>
      </c>
      <c r="O788" s="90"/>
      <c r="P788" s="91"/>
      <c r="Q788" s="91"/>
      <c r="R788" s="91"/>
      <c r="S788" s="41" t="str">
        <f t="shared" si="29"/>
        <v/>
      </c>
    </row>
    <row r="789" spans="1:19" ht="15" customHeight="1" x14ac:dyDescent="0.2">
      <c r="A789" s="9">
        <v>19487</v>
      </c>
      <c r="B789" s="9" t="s">
        <v>124</v>
      </c>
      <c r="C789" s="9" t="s">
        <v>348</v>
      </c>
      <c r="D789" s="23"/>
      <c r="E789" s="42"/>
      <c r="F789" s="43"/>
      <c r="G789" s="42"/>
      <c r="H789" s="43"/>
      <c r="I789" s="25" t="s">
        <v>15</v>
      </c>
      <c r="J789" s="34" t="str">
        <f>IF(E789="","",raw_data!C781)</f>
        <v/>
      </c>
      <c r="K789" s="46"/>
      <c r="L789" s="87"/>
      <c r="M789" s="19" t="str">
        <f>IF(E789="","",raw_data!F781)</f>
        <v/>
      </c>
      <c r="N789" s="20" t="str">
        <f t="shared" si="30"/>
        <v/>
      </c>
      <c r="O789" s="90"/>
      <c r="P789" s="91"/>
      <c r="Q789" s="91"/>
      <c r="R789" s="91"/>
      <c r="S789" s="41" t="str">
        <f t="shared" si="29"/>
        <v/>
      </c>
    </row>
    <row r="790" spans="1:19" ht="15" customHeight="1" x14ac:dyDescent="0.2">
      <c r="A790" s="9">
        <v>19488</v>
      </c>
      <c r="B790" s="9" t="s">
        <v>124</v>
      </c>
      <c r="C790" s="9" t="s">
        <v>349</v>
      </c>
      <c r="D790" s="23"/>
      <c r="E790" s="42"/>
      <c r="F790" s="43"/>
      <c r="G790" s="42"/>
      <c r="H790" s="43"/>
      <c r="I790" s="25" t="s">
        <v>15</v>
      </c>
      <c r="J790" s="34" t="str">
        <f>IF(E790="","",raw_data!C782)</f>
        <v/>
      </c>
      <c r="K790" s="46"/>
      <c r="L790" s="87"/>
      <c r="M790" s="19" t="str">
        <f>IF(E790="","",raw_data!F782)</f>
        <v/>
      </c>
      <c r="N790" s="20" t="str">
        <f t="shared" si="30"/>
        <v/>
      </c>
      <c r="O790" s="90"/>
      <c r="P790" s="91"/>
      <c r="Q790" s="91"/>
      <c r="R790" s="91"/>
      <c r="S790" s="41" t="str">
        <f t="shared" si="29"/>
        <v/>
      </c>
    </row>
    <row r="791" spans="1:19" ht="15" customHeight="1" x14ac:dyDescent="0.2">
      <c r="A791" s="9">
        <v>19489</v>
      </c>
      <c r="B791" s="9" t="s">
        <v>124</v>
      </c>
      <c r="C791" s="9" t="s">
        <v>350</v>
      </c>
      <c r="D791" s="23"/>
      <c r="E791" s="42"/>
      <c r="F791" s="43"/>
      <c r="G791" s="42"/>
      <c r="H791" s="43"/>
      <c r="I791" s="25" t="s">
        <v>15</v>
      </c>
      <c r="J791" s="34" t="str">
        <f>IF(E791="","",raw_data!C783)</f>
        <v/>
      </c>
      <c r="K791" s="46"/>
      <c r="L791" s="87"/>
      <c r="M791" s="19" t="str">
        <f>IF(E791="","",raw_data!F783)</f>
        <v/>
      </c>
      <c r="N791" s="20" t="str">
        <f t="shared" si="30"/>
        <v/>
      </c>
      <c r="O791" s="90"/>
      <c r="P791" s="91"/>
      <c r="Q791" s="91"/>
      <c r="R791" s="91"/>
      <c r="S791" s="41" t="str">
        <f t="shared" si="29"/>
        <v/>
      </c>
    </row>
    <row r="792" spans="1:19" ht="15" customHeight="1" x14ac:dyDescent="0.2">
      <c r="A792" s="9">
        <v>19490</v>
      </c>
      <c r="B792" s="9" t="s">
        <v>124</v>
      </c>
      <c r="C792" s="9" t="s">
        <v>351</v>
      </c>
      <c r="D792" s="23"/>
      <c r="E792" s="42"/>
      <c r="F792" s="43"/>
      <c r="G792" s="42"/>
      <c r="H792" s="43"/>
      <c r="I792" s="25" t="s">
        <v>15</v>
      </c>
      <c r="J792" s="34" t="str">
        <f>IF(E792="","",raw_data!C784)</f>
        <v/>
      </c>
      <c r="K792" s="46"/>
      <c r="L792" s="87"/>
      <c r="M792" s="19" t="str">
        <f>IF(E792="","",raw_data!F784)</f>
        <v/>
      </c>
      <c r="N792" s="20" t="str">
        <f t="shared" si="30"/>
        <v/>
      </c>
      <c r="O792" s="90"/>
      <c r="P792" s="91"/>
      <c r="Q792" s="91"/>
      <c r="R792" s="91"/>
      <c r="S792" s="41" t="str">
        <f t="shared" si="29"/>
        <v/>
      </c>
    </row>
    <row r="793" spans="1:19" ht="15" customHeight="1" x14ac:dyDescent="0.2">
      <c r="A793" s="9">
        <v>19491</v>
      </c>
      <c r="B793" s="9" t="s">
        <v>124</v>
      </c>
      <c r="C793" s="9" t="s">
        <v>352</v>
      </c>
      <c r="D793" s="23"/>
      <c r="E793" s="42"/>
      <c r="F793" s="43"/>
      <c r="G793" s="42"/>
      <c r="H793" s="43"/>
      <c r="I793" s="25" t="s">
        <v>15</v>
      </c>
      <c r="J793" s="34" t="str">
        <f>IF(E793="","",raw_data!C785)</f>
        <v/>
      </c>
      <c r="K793" s="46"/>
      <c r="L793" s="87"/>
      <c r="M793" s="19" t="str">
        <f>IF(E793="","",raw_data!F785)</f>
        <v/>
      </c>
      <c r="N793" s="20" t="str">
        <f t="shared" si="30"/>
        <v/>
      </c>
      <c r="O793" s="90"/>
      <c r="P793" s="91"/>
      <c r="Q793" s="91"/>
      <c r="R793" s="91"/>
      <c r="S793" s="41" t="str">
        <f t="shared" si="29"/>
        <v/>
      </c>
    </row>
    <row r="794" spans="1:19" ht="15" customHeight="1" x14ac:dyDescent="0.2">
      <c r="A794" s="9">
        <v>19492</v>
      </c>
      <c r="B794" s="9" t="s">
        <v>124</v>
      </c>
      <c r="C794" s="9" t="s">
        <v>353</v>
      </c>
      <c r="D794" s="23"/>
      <c r="E794" s="42"/>
      <c r="F794" s="43"/>
      <c r="G794" s="42"/>
      <c r="H794" s="43"/>
      <c r="I794" s="25" t="s">
        <v>15</v>
      </c>
      <c r="J794" s="34" t="str">
        <f>IF(E794="","",raw_data!C786)</f>
        <v/>
      </c>
      <c r="K794" s="46"/>
      <c r="L794" s="87"/>
      <c r="M794" s="19" t="str">
        <f>IF(E794="","",raw_data!F786)</f>
        <v/>
      </c>
      <c r="N794" s="20" t="str">
        <f t="shared" si="30"/>
        <v/>
      </c>
      <c r="O794" s="90"/>
      <c r="P794" s="91"/>
      <c r="Q794" s="91"/>
      <c r="R794" s="91"/>
      <c r="S794" s="41" t="str">
        <f t="shared" si="29"/>
        <v/>
      </c>
    </row>
    <row r="795" spans="1:19" ht="15" customHeight="1" x14ac:dyDescent="0.2">
      <c r="A795" s="9">
        <v>19493</v>
      </c>
      <c r="B795" s="9" t="s">
        <v>124</v>
      </c>
      <c r="C795" s="9" t="s">
        <v>354</v>
      </c>
      <c r="D795" s="23"/>
      <c r="E795" s="42"/>
      <c r="F795" s="43"/>
      <c r="G795" s="42"/>
      <c r="H795" s="43"/>
      <c r="I795" s="25" t="s">
        <v>15</v>
      </c>
      <c r="J795" s="34" t="str">
        <f>IF(E795="","",raw_data!C787)</f>
        <v/>
      </c>
      <c r="K795" s="46"/>
      <c r="L795" s="87"/>
      <c r="M795" s="19" t="str">
        <f>IF(E795="","",raw_data!F787)</f>
        <v/>
      </c>
      <c r="N795" s="20" t="str">
        <f t="shared" si="30"/>
        <v/>
      </c>
      <c r="O795" s="90"/>
      <c r="P795" s="91"/>
      <c r="Q795" s="91"/>
      <c r="R795" s="91"/>
      <c r="S795" s="41" t="str">
        <f t="shared" si="29"/>
        <v/>
      </c>
    </row>
    <row r="796" spans="1:19" ht="15" customHeight="1" x14ac:dyDescent="0.2">
      <c r="A796" s="9">
        <v>19494</v>
      </c>
      <c r="B796" s="9" t="s">
        <v>124</v>
      </c>
      <c r="C796" s="9" t="s">
        <v>78</v>
      </c>
      <c r="D796" s="23"/>
      <c r="E796" s="42"/>
      <c r="F796" s="43"/>
      <c r="G796" s="42"/>
      <c r="H796" s="43"/>
      <c r="I796" s="25" t="s">
        <v>15</v>
      </c>
      <c r="J796" s="34" t="str">
        <f>IF(E796="","",raw_data!C788)</f>
        <v/>
      </c>
      <c r="K796" s="46"/>
      <c r="L796" s="87"/>
      <c r="M796" s="19" t="str">
        <f>IF(E796="","",raw_data!F788)</f>
        <v/>
      </c>
      <c r="N796" s="20" t="str">
        <f t="shared" si="30"/>
        <v/>
      </c>
      <c r="O796" s="90"/>
      <c r="P796" s="91"/>
      <c r="Q796" s="91"/>
      <c r="R796" s="91"/>
      <c r="S796" s="41" t="str">
        <f t="shared" si="29"/>
        <v/>
      </c>
    </row>
    <row r="797" spans="1:19" ht="15" customHeight="1" x14ac:dyDescent="0.2">
      <c r="A797" s="9">
        <v>19495</v>
      </c>
      <c r="B797" s="9" t="s">
        <v>124</v>
      </c>
      <c r="C797" s="9" t="s">
        <v>162</v>
      </c>
      <c r="D797" s="23"/>
      <c r="E797" s="42"/>
      <c r="F797" s="43"/>
      <c r="G797" s="42"/>
      <c r="H797" s="43"/>
      <c r="I797" s="25" t="s">
        <v>15</v>
      </c>
      <c r="J797" s="34" t="str">
        <f>IF(E797="","",raw_data!C789)</f>
        <v/>
      </c>
      <c r="K797" s="46"/>
      <c r="L797" s="87"/>
      <c r="M797" s="19" t="str">
        <f>IF(E797="","",raw_data!F789)</f>
        <v/>
      </c>
      <c r="N797" s="20" t="str">
        <f t="shared" si="30"/>
        <v/>
      </c>
      <c r="O797" s="90"/>
      <c r="P797" s="91"/>
      <c r="Q797" s="91"/>
      <c r="R797" s="91"/>
      <c r="S797" s="41" t="str">
        <f t="shared" si="29"/>
        <v/>
      </c>
    </row>
    <row r="798" spans="1:19" ht="15" customHeight="1" x14ac:dyDescent="0.2">
      <c r="A798" s="9">
        <v>19496</v>
      </c>
      <c r="B798" s="9" t="s">
        <v>124</v>
      </c>
      <c r="C798" s="9" t="s">
        <v>355</v>
      </c>
      <c r="D798" s="23"/>
      <c r="E798" s="42"/>
      <c r="F798" s="43"/>
      <c r="G798" s="42"/>
      <c r="H798" s="43"/>
      <c r="I798" s="25" t="s">
        <v>15</v>
      </c>
      <c r="J798" s="34" t="str">
        <f>IF(E798="","",raw_data!C790)</f>
        <v/>
      </c>
      <c r="K798" s="46"/>
      <c r="L798" s="87"/>
      <c r="M798" s="19" t="str">
        <f>IF(E798="","",raw_data!F790)</f>
        <v/>
      </c>
      <c r="N798" s="20" t="str">
        <f t="shared" si="30"/>
        <v/>
      </c>
      <c r="O798" s="90"/>
      <c r="P798" s="91"/>
      <c r="Q798" s="91"/>
      <c r="R798" s="91"/>
      <c r="S798" s="41" t="str">
        <f t="shared" si="29"/>
        <v/>
      </c>
    </row>
    <row r="799" spans="1:19" ht="15" customHeight="1" x14ac:dyDescent="0.2">
      <c r="A799" s="9">
        <v>19497</v>
      </c>
      <c r="B799" s="9" t="s">
        <v>124</v>
      </c>
      <c r="C799" s="9" t="s">
        <v>356</v>
      </c>
      <c r="D799" s="23"/>
      <c r="E799" s="42"/>
      <c r="F799" s="43"/>
      <c r="G799" s="42"/>
      <c r="H799" s="43"/>
      <c r="I799" s="25" t="s">
        <v>15</v>
      </c>
      <c r="J799" s="34" t="str">
        <f>IF(E799="","",raw_data!C791)</f>
        <v/>
      </c>
      <c r="K799" s="46"/>
      <c r="L799" s="87"/>
      <c r="M799" s="19" t="str">
        <f>IF(E799="","",raw_data!F791)</f>
        <v/>
      </c>
      <c r="N799" s="20" t="str">
        <f t="shared" si="30"/>
        <v/>
      </c>
      <c r="O799" s="90"/>
      <c r="P799" s="91"/>
      <c r="Q799" s="91"/>
      <c r="R799" s="91"/>
      <c r="S799" s="41" t="str">
        <f t="shared" si="29"/>
        <v/>
      </c>
    </row>
    <row r="800" spans="1:19" ht="15" customHeight="1" x14ac:dyDescent="0.2">
      <c r="A800" s="9">
        <v>19498</v>
      </c>
      <c r="B800" s="9" t="s">
        <v>124</v>
      </c>
      <c r="C800" s="9" t="s">
        <v>357</v>
      </c>
      <c r="D800" s="23"/>
      <c r="E800" s="42"/>
      <c r="F800" s="43"/>
      <c r="G800" s="42"/>
      <c r="H800" s="43"/>
      <c r="I800" s="25" t="s">
        <v>15</v>
      </c>
      <c r="J800" s="34" t="str">
        <f>IF(E800="","",raw_data!C792)</f>
        <v/>
      </c>
      <c r="K800" s="46"/>
      <c r="L800" s="87"/>
      <c r="M800" s="19" t="str">
        <f>IF(E800="","",raw_data!F792)</f>
        <v/>
      </c>
      <c r="N800" s="20" t="str">
        <f t="shared" si="30"/>
        <v/>
      </c>
      <c r="O800" s="90"/>
      <c r="P800" s="91"/>
      <c r="Q800" s="91"/>
      <c r="R800" s="91"/>
      <c r="S800" s="41" t="str">
        <f t="shared" si="29"/>
        <v/>
      </c>
    </row>
    <row r="801" spans="1:19" ht="15" customHeight="1" x14ac:dyDescent="0.2">
      <c r="A801" s="9">
        <v>19499</v>
      </c>
      <c r="B801" s="9" t="s">
        <v>124</v>
      </c>
      <c r="C801" s="9" t="s">
        <v>358</v>
      </c>
      <c r="D801" s="23"/>
      <c r="E801" s="42"/>
      <c r="F801" s="43"/>
      <c r="G801" s="42"/>
      <c r="H801" s="43"/>
      <c r="I801" s="25" t="s">
        <v>15</v>
      </c>
      <c r="J801" s="34" t="str">
        <f>IF(E801="","",raw_data!C793)</f>
        <v/>
      </c>
      <c r="K801" s="46"/>
      <c r="L801" s="87"/>
      <c r="M801" s="19" t="str">
        <f>IF(E801="","",raw_data!F793)</f>
        <v/>
      </c>
      <c r="N801" s="20" t="str">
        <f t="shared" si="30"/>
        <v/>
      </c>
      <c r="O801" s="90"/>
      <c r="P801" s="91"/>
      <c r="Q801" s="91"/>
      <c r="R801" s="91"/>
      <c r="S801" s="41" t="str">
        <f t="shared" si="29"/>
        <v/>
      </c>
    </row>
    <row r="802" spans="1:19" ht="15" customHeight="1" x14ac:dyDescent="0.2">
      <c r="A802" s="9">
        <v>19500</v>
      </c>
      <c r="B802" s="9" t="s">
        <v>124</v>
      </c>
      <c r="C802" s="9" t="s">
        <v>359</v>
      </c>
      <c r="D802" s="23"/>
      <c r="E802" s="42"/>
      <c r="F802" s="43"/>
      <c r="G802" s="42"/>
      <c r="H802" s="43"/>
      <c r="I802" s="25" t="s">
        <v>15</v>
      </c>
      <c r="J802" s="34" t="str">
        <f>IF(E802="","",raw_data!C794)</f>
        <v/>
      </c>
      <c r="K802" s="46"/>
      <c r="L802" s="87"/>
      <c r="M802" s="19" t="str">
        <f>IF(E802="","",raw_data!F794)</f>
        <v/>
      </c>
      <c r="N802" s="20" t="str">
        <f t="shared" si="30"/>
        <v/>
      </c>
      <c r="O802" s="90"/>
      <c r="P802" s="91"/>
      <c r="Q802" s="91"/>
      <c r="R802" s="91"/>
      <c r="S802" s="41" t="str">
        <f t="shared" si="29"/>
        <v/>
      </c>
    </row>
    <row r="803" spans="1:19" ht="15" customHeight="1" x14ac:dyDescent="0.2">
      <c r="A803" s="9">
        <v>19501</v>
      </c>
      <c r="B803" s="9" t="s">
        <v>124</v>
      </c>
      <c r="C803" s="9" t="s">
        <v>360</v>
      </c>
      <c r="D803" s="23"/>
      <c r="E803" s="42"/>
      <c r="F803" s="43"/>
      <c r="G803" s="42"/>
      <c r="H803" s="43"/>
      <c r="I803" s="25" t="s">
        <v>15</v>
      </c>
      <c r="J803" s="34" t="str">
        <f>IF(E803="","",raw_data!C795)</f>
        <v/>
      </c>
      <c r="K803" s="46"/>
      <c r="L803" s="87"/>
      <c r="M803" s="19" t="str">
        <f>IF(E803="","",raw_data!F795)</f>
        <v/>
      </c>
      <c r="N803" s="20" t="str">
        <f t="shared" si="30"/>
        <v/>
      </c>
      <c r="O803" s="90"/>
      <c r="P803" s="91"/>
      <c r="Q803" s="91"/>
      <c r="R803" s="91"/>
      <c r="S803" s="41" t="str">
        <f t="shared" si="29"/>
        <v/>
      </c>
    </row>
    <row r="804" spans="1:19" ht="15" customHeight="1" x14ac:dyDescent="0.2">
      <c r="A804" s="9">
        <v>19502</v>
      </c>
      <c r="B804" s="9" t="s">
        <v>124</v>
      </c>
      <c r="C804" s="9" t="s">
        <v>361</v>
      </c>
      <c r="D804" s="23"/>
      <c r="E804" s="42"/>
      <c r="F804" s="43"/>
      <c r="G804" s="42"/>
      <c r="H804" s="43"/>
      <c r="I804" s="25" t="s">
        <v>15</v>
      </c>
      <c r="J804" s="34" t="str">
        <f>IF(E804="","",raw_data!C796)</f>
        <v/>
      </c>
      <c r="K804" s="46"/>
      <c r="L804" s="87"/>
      <c r="M804" s="19" t="str">
        <f>IF(E804="","",raw_data!F796)</f>
        <v/>
      </c>
      <c r="N804" s="20" t="str">
        <f t="shared" si="30"/>
        <v/>
      </c>
      <c r="O804" s="90"/>
      <c r="P804" s="91"/>
      <c r="Q804" s="91"/>
      <c r="R804" s="91"/>
      <c r="S804" s="41" t="str">
        <f t="shared" si="29"/>
        <v/>
      </c>
    </row>
    <row r="805" spans="1:19" ht="15" customHeight="1" x14ac:dyDescent="0.2">
      <c r="A805" s="9">
        <v>19503</v>
      </c>
      <c r="B805" s="9" t="s">
        <v>124</v>
      </c>
      <c r="C805" s="9" t="s">
        <v>362</v>
      </c>
      <c r="D805" s="23"/>
      <c r="E805" s="42"/>
      <c r="F805" s="43"/>
      <c r="G805" s="42"/>
      <c r="H805" s="43"/>
      <c r="I805" s="25" t="s">
        <v>15</v>
      </c>
      <c r="J805" s="34" t="str">
        <f>IF(E805="","",raw_data!C797)</f>
        <v/>
      </c>
      <c r="K805" s="46"/>
      <c r="L805" s="87"/>
      <c r="M805" s="19" t="str">
        <f>IF(E805="","",raw_data!F797)</f>
        <v/>
      </c>
      <c r="N805" s="20" t="str">
        <f t="shared" si="30"/>
        <v/>
      </c>
      <c r="O805" s="90"/>
      <c r="P805" s="91"/>
      <c r="Q805" s="91"/>
      <c r="R805" s="91"/>
      <c r="S805" s="41" t="str">
        <f t="shared" si="29"/>
        <v/>
      </c>
    </row>
    <row r="806" spans="1:19" ht="15" customHeight="1" x14ac:dyDescent="0.2">
      <c r="A806" s="9">
        <v>19504</v>
      </c>
      <c r="B806" s="9" t="s">
        <v>124</v>
      </c>
      <c r="C806" s="9" t="s">
        <v>363</v>
      </c>
      <c r="D806" s="23"/>
      <c r="E806" s="42"/>
      <c r="F806" s="43"/>
      <c r="G806" s="42"/>
      <c r="H806" s="43"/>
      <c r="I806" s="25" t="s">
        <v>15</v>
      </c>
      <c r="J806" s="34" t="str">
        <f>IF(E806="","",raw_data!C798)</f>
        <v/>
      </c>
      <c r="K806" s="46"/>
      <c r="L806" s="87"/>
      <c r="M806" s="19" t="str">
        <f>IF(E806="","",raw_data!F798)</f>
        <v/>
      </c>
      <c r="N806" s="20" t="str">
        <f t="shared" si="30"/>
        <v/>
      </c>
      <c r="O806" s="90"/>
      <c r="P806" s="91"/>
      <c r="Q806" s="91"/>
      <c r="R806" s="91"/>
      <c r="S806" s="41" t="str">
        <f t="shared" si="29"/>
        <v/>
      </c>
    </row>
    <row r="807" spans="1:19" ht="15" customHeight="1" x14ac:dyDescent="0.2">
      <c r="A807" s="9">
        <v>19505</v>
      </c>
      <c r="B807" s="9" t="s">
        <v>124</v>
      </c>
      <c r="C807" s="9" t="s">
        <v>9</v>
      </c>
      <c r="D807" s="23"/>
      <c r="E807" s="42">
        <v>1</v>
      </c>
      <c r="F807" s="43"/>
      <c r="G807" s="42" t="s">
        <v>155</v>
      </c>
      <c r="H807" s="43"/>
      <c r="I807" s="25" t="s">
        <v>15</v>
      </c>
      <c r="J807" s="34">
        <f>IF(E807="","",raw_data!C799)</f>
        <v>0</v>
      </c>
      <c r="K807" s="46"/>
      <c r="L807" s="87"/>
      <c r="M807" s="19">
        <f>IF(E807="","",raw_data!F799)</f>
        <v>0</v>
      </c>
      <c r="N807" s="20" t="str">
        <f t="shared" si="30"/>
        <v>-</v>
      </c>
      <c r="O807" s="90"/>
      <c r="P807" s="91"/>
      <c r="Q807" s="91"/>
      <c r="R807" s="91"/>
      <c r="S807" s="41" t="str">
        <f t="shared" si="29"/>
        <v>erfüllt</v>
      </c>
    </row>
    <row r="808" spans="1:19" ht="15" customHeight="1" x14ac:dyDescent="0.2">
      <c r="A808" s="9">
        <v>19506</v>
      </c>
      <c r="B808" s="9" t="s">
        <v>124</v>
      </c>
      <c r="C808" s="9" t="s">
        <v>241</v>
      </c>
      <c r="D808" s="23"/>
      <c r="E808" s="42">
        <v>1</v>
      </c>
      <c r="F808" s="43"/>
      <c r="G808" s="42" t="s">
        <v>155</v>
      </c>
      <c r="H808" s="43"/>
      <c r="I808" s="25" t="s">
        <v>15</v>
      </c>
      <c r="J808" s="34">
        <f>IF(E808="","",raw_data!C800)</f>
        <v>0</v>
      </c>
      <c r="K808" s="46"/>
      <c r="L808" s="87"/>
      <c r="M808" s="19">
        <f>IF(E808="","",raw_data!F800)</f>
        <v>0</v>
      </c>
      <c r="N808" s="20" t="str">
        <f t="shared" si="30"/>
        <v>-</v>
      </c>
      <c r="O808" s="90"/>
      <c r="P808" s="91"/>
      <c r="Q808" s="91"/>
      <c r="R808" s="91"/>
      <c r="S808" s="41" t="str">
        <f t="shared" si="29"/>
        <v>erfüllt</v>
      </c>
    </row>
    <row r="809" spans="1:19" ht="15" customHeight="1" x14ac:dyDescent="0.2">
      <c r="A809" s="9">
        <v>19507</v>
      </c>
      <c r="B809" s="9" t="s">
        <v>124</v>
      </c>
      <c r="C809" s="9" t="s">
        <v>79</v>
      </c>
      <c r="D809" s="23"/>
      <c r="E809" s="42"/>
      <c r="F809" s="43"/>
      <c r="G809" s="42"/>
      <c r="H809" s="43"/>
      <c r="I809" s="25" t="s">
        <v>15</v>
      </c>
      <c r="J809" s="34" t="str">
        <f>IF(E809="","",raw_data!C801)</f>
        <v/>
      </c>
      <c r="K809" s="46"/>
      <c r="L809" s="87"/>
      <c r="M809" s="19" t="str">
        <f>IF(E809="","",raw_data!F801)</f>
        <v/>
      </c>
      <c r="N809" s="20" t="str">
        <f t="shared" si="30"/>
        <v/>
      </c>
      <c r="O809" s="90"/>
      <c r="P809" s="91"/>
      <c r="Q809" s="91"/>
      <c r="R809" s="91"/>
      <c r="S809" s="41" t="str">
        <f t="shared" si="29"/>
        <v/>
      </c>
    </row>
    <row r="810" spans="1:19" ht="15" customHeight="1" x14ac:dyDescent="0.2">
      <c r="A810" s="9">
        <v>19508</v>
      </c>
      <c r="B810" s="9" t="s">
        <v>124</v>
      </c>
      <c r="C810" s="9" t="s">
        <v>242</v>
      </c>
      <c r="D810" s="23"/>
      <c r="E810" s="42">
        <v>1</v>
      </c>
      <c r="F810" s="43"/>
      <c r="G810" s="42" t="s">
        <v>155</v>
      </c>
      <c r="H810" s="43"/>
      <c r="I810" s="25" t="s">
        <v>15</v>
      </c>
      <c r="J810" s="34">
        <f>IF(E810="","",raw_data!C802)</f>
        <v>0</v>
      </c>
      <c r="K810" s="46"/>
      <c r="L810" s="87"/>
      <c r="M810" s="19">
        <f>IF(E810="","",raw_data!F802)</f>
        <v>0</v>
      </c>
      <c r="N810" s="20" t="str">
        <f t="shared" si="30"/>
        <v>-</v>
      </c>
      <c r="O810" s="90"/>
      <c r="P810" s="91"/>
      <c r="Q810" s="91"/>
      <c r="R810" s="91"/>
      <c r="S810" s="41" t="str">
        <f t="shared" si="29"/>
        <v>erfüllt</v>
      </c>
    </row>
    <row r="811" spans="1:19" ht="15" customHeight="1" x14ac:dyDescent="0.2">
      <c r="A811" s="9">
        <v>19509</v>
      </c>
      <c r="B811" s="9" t="s">
        <v>124</v>
      </c>
      <c r="C811" s="9" t="s">
        <v>80</v>
      </c>
      <c r="D811" s="23"/>
      <c r="E811" s="42">
        <v>1</v>
      </c>
      <c r="F811" s="43"/>
      <c r="G811" s="42" t="s">
        <v>155</v>
      </c>
      <c r="H811" s="43"/>
      <c r="I811" s="25" t="s">
        <v>15</v>
      </c>
      <c r="J811" s="34">
        <f>IF(E811="","",raw_data!C803)</f>
        <v>0</v>
      </c>
      <c r="K811" s="46"/>
      <c r="L811" s="87"/>
      <c r="M811" s="19">
        <f>IF(E811="","",raw_data!F803)</f>
        <v>0</v>
      </c>
      <c r="N811" s="20" t="str">
        <f t="shared" si="30"/>
        <v>-</v>
      </c>
      <c r="O811" s="90"/>
      <c r="P811" s="91"/>
      <c r="Q811" s="91"/>
      <c r="R811" s="91"/>
      <c r="S811" s="41" t="str">
        <f t="shared" si="29"/>
        <v>erfüllt</v>
      </c>
    </row>
    <row r="812" spans="1:19" ht="15" customHeight="1" x14ac:dyDescent="0.2">
      <c r="A812" s="9">
        <v>19510</v>
      </c>
      <c r="B812" s="9" t="s">
        <v>124</v>
      </c>
      <c r="C812" s="9" t="s">
        <v>81</v>
      </c>
      <c r="D812" s="23"/>
      <c r="E812" s="42">
        <v>1</v>
      </c>
      <c r="F812" s="43"/>
      <c r="G812" s="42" t="s">
        <v>155</v>
      </c>
      <c r="H812" s="43"/>
      <c r="I812" s="25" t="s">
        <v>15</v>
      </c>
      <c r="J812" s="34">
        <f>IF(E812="","",raw_data!C804)</f>
        <v>0</v>
      </c>
      <c r="K812" s="46"/>
      <c r="L812" s="87"/>
      <c r="M812" s="19">
        <f>IF(E812="","",raw_data!F804)</f>
        <v>0</v>
      </c>
      <c r="N812" s="20" t="str">
        <f t="shared" si="30"/>
        <v>-</v>
      </c>
      <c r="O812" s="90"/>
      <c r="P812" s="91"/>
      <c r="Q812" s="91"/>
      <c r="R812" s="91"/>
      <c r="S812" s="41" t="str">
        <f t="shared" si="29"/>
        <v>erfüllt</v>
      </c>
    </row>
    <row r="813" spans="1:19" ht="15" customHeight="1" x14ac:dyDescent="0.2">
      <c r="A813" s="9">
        <v>19511</v>
      </c>
      <c r="B813" s="9" t="s">
        <v>124</v>
      </c>
      <c r="C813" s="9" t="s">
        <v>193</v>
      </c>
      <c r="D813" s="23"/>
      <c r="E813" s="42">
        <v>1</v>
      </c>
      <c r="F813" s="43"/>
      <c r="G813" s="42" t="s">
        <v>155</v>
      </c>
      <c r="H813" s="43"/>
      <c r="I813" s="25" t="s">
        <v>15</v>
      </c>
      <c r="J813" s="34">
        <f>IF(E813="","",raw_data!C805)</f>
        <v>0</v>
      </c>
      <c r="K813" s="46"/>
      <c r="L813" s="87"/>
      <c r="M813" s="19">
        <f>IF(E813="","",raw_data!F805)</f>
        <v>0</v>
      </c>
      <c r="N813" s="20" t="str">
        <f t="shared" si="30"/>
        <v>-</v>
      </c>
      <c r="O813" s="90"/>
      <c r="P813" s="91"/>
      <c r="Q813" s="91"/>
      <c r="R813" s="91"/>
      <c r="S813" s="41" t="str">
        <f t="shared" si="29"/>
        <v>erfüllt</v>
      </c>
    </row>
    <row r="814" spans="1:19" ht="15" customHeight="1" x14ac:dyDescent="0.2">
      <c r="A814" s="9">
        <v>19512</v>
      </c>
      <c r="B814" s="9" t="s">
        <v>124</v>
      </c>
      <c r="C814" s="9" t="s">
        <v>56</v>
      </c>
      <c r="D814" s="23"/>
      <c r="E814" s="42">
        <v>1</v>
      </c>
      <c r="F814" s="43"/>
      <c r="G814" s="42" t="s">
        <v>155</v>
      </c>
      <c r="H814" s="43"/>
      <c r="I814" s="25" t="s">
        <v>15</v>
      </c>
      <c r="J814" s="34">
        <f>IF(E814="","",raw_data!C806)</f>
        <v>0</v>
      </c>
      <c r="K814" s="46"/>
      <c r="L814" s="87"/>
      <c r="M814" s="19">
        <f>IF(E814="","",raw_data!F806)</f>
        <v>0</v>
      </c>
      <c r="N814" s="20" t="str">
        <f t="shared" si="30"/>
        <v>-</v>
      </c>
      <c r="O814" s="90"/>
      <c r="P814" s="91"/>
      <c r="Q814" s="91"/>
      <c r="R814" s="91"/>
      <c r="S814" s="41" t="str">
        <f t="shared" si="29"/>
        <v>erfüllt</v>
      </c>
    </row>
    <row r="815" spans="1:19" ht="15" customHeight="1" x14ac:dyDescent="0.2">
      <c r="A815" s="9">
        <v>20001</v>
      </c>
      <c r="B815" s="9" t="s">
        <v>366</v>
      </c>
      <c r="C815" s="9" t="s">
        <v>367</v>
      </c>
      <c r="D815" s="23"/>
      <c r="E815" s="42">
        <v>1</v>
      </c>
      <c r="F815" s="43"/>
      <c r="G815" s="42" t="s">
        <v>155</v>
      </c>
      <c r="H815" s="43"/>
      <c r="I815" s="25" t="s">
        <v>15</v>
      </c>
      <c r="J815" s="34">
        <f>IF(E815="","",raw_data!C807)</f>
        <v>0</v>
      </c>
      <c r="K815" s="92"/>
      <c r="L815" s="93"/>
      <c r="M815" s="19">
        <f>IF(E815="","",raw_data!F807)</f>
        <v>0</v>
      </c>
      <c r="N815" s="20" t="str">
        <f t="shared" si="30"/>
        <v>-</v>
      </c>
      <c r="O815" s="92"/>
      <c r="P815" s="94"/>
      <c r="Q815" s="94"/>
      <c r="R815" s="95"/>
      <c r="S815" s="41" t="str">
        <f t="shared" si="29"/>
        <v>erfüllt</v>
      </c>
    </row>
    <row r="816" spans="1:19" ht="15" customHeight="1" x14ac:dyDescent="0.2">
      <c r="A816" s="9">
        <v>20002</v>
      </c>
      <c r="B816" s="9" t="s">
        <v>366</v>
      </c>
      <c r="C816" s="9" t="s">
        <v>368</v>
      </c>
      <c r="D816" s="23"/>
      <c r="E816" s="42"/>
      <c r="F816" s="43"/>
      <c r="G816" s="42"/>
      <c r="H816" s="43"/>
      <c r="I816" s="25" t="s">
        <v>15</v>
      </c>
      <c r="J816" s="34" t="str">
        <f>IF(E816="","",raw_data!C808)</f>
        <v/>
      </c>
      <c r="K816" s="92"/>
      <c r="L816" s="93"/>
      <c r="M816" s="19" t="str">
        <f>IF(E816="","",raw_data!F808)</f>
        <v/>
      </c>
      <c r="N816" s="20" t="str">
        <f t="shared" si="30"/>
        <v/>
      </c>
      <c r="O816" s="92"/>
      <c r="P816" s="94"/>
      <c r="Q816" s="94"/>
      <c r="R816" s="95"/>
      <c r="S816" s="41" t="str">
        <f t="shared" si="29"/>
        <v/>
      </c>
    </row>
    <row r="817" spans="1:19" ht="15" customHeight="1" x14ac:dyDescent="0.2">
      <c r="A817" s="9">
        <v>20003</v>
      </c>
      <c r="B817" s="9" t="s">
        <v>366</v>
      </c>
      <c r="C817" s="9" t="s">
        <v>369</v>
      </c>
      <c r="D817" s="23"/>
      <c r="E817" s="42"/>
      <c r="F817" s="43"/>
      <c r="G817" s="42"/>
      <c r="H817" s="43"/>
      <c r="I817" s="25" t="s">
        <v>15</v>
      </c>
      <c r="J817" s="34" t="str">
        <f>IF(E817="","",raw_data!C809)</f>
        <v/>
      </c>
      <c r="K817" s="92"/>
      <c r="L817" s="93"/>
      <c r="M817" s="19" t="str">
        <f>IF(E817="","",raw_data!F809)</f>
        <v/>
      </c>
      <c r="N817" s="20" t="str">
        <f t="shared" si="30"/>
        <v/>
      </c>
      <c r="O817" s="92"/>
      <c r="P817" s="94"/>
      <c r="Q817" s="94"/>
      <c r="R817" s="95"/>
      <c r="S817" s="41" t="str">
        <f t="shared" si="29"/>
        <v/>
      </c>
    </row>
    <row r="818" spans="1:19" ht="15" customHeight="1" x14ac:dyDescent="0.2">
      <c r="A818" s="9">
        <v>20004</v>
      </c>
      <c r="B818" s="9" t="s">
        <v>366</v>
      </c>
      <c r="C818" s="9" t="s">
        <v>9</v>
      </c>
      <c r="D818" s="23"/>
      <c r="E818" s="42">
        <v>1</v>
      </c>
      <c r="F818" s="43"/>
      <c r="G818" s="42" t="s">
        <v>155</v>
      </c>
      <c r="H818" s="43"/>
      <c r="I818" s="25" t="s">
        <v>15</v>
      </c>
      <c r="J818" s="34">
        <f>IF(E818="","",raw_data!C810)</f>
        <v>0</v>
      </c>
      <c r="K818" s="92"/>
      <c r="L818" s="93"/>
      <c r="M818" s="19">
        <f>IF(E818="","",raw_data!F810)</f>
        <v>0</v>
      </c>
      <c r="N818" s="20" t="str">
        <f t="shared" si="30"/>
        <v>-</v>
      </c>
      <c r="O818" s="92"/>
      <c r="P818" s="94"/>
      <c r="Q818" s="94"/>
      <c r="R818" s="95"/>
      <c r="S818" s="41" t="str">
        <f t="shared" si="29"/>
        <v>erfüllt</v>
      </c>
    </row>
    <row r="819" spans="1:19" ht="15" customHeight="1" x14ac:dyDescent="0.2">
      <c r="A819" s="9">
        <v>20005</v>
      </c>
      <c r="B819" s="9" t="s">
        <v>366</v>
      </c>
      <c r="C819" s="9" t="s">
        <v>370</v>
      </c>
      <c r="D819" s="23"/>
      <c r="E819" s="42"/>
      <c r="F819" s="43"/>
      <c r="G819" s="42"/>
      <c r="H819" s="43"/>
      <c r="I819" s="25" t="s">
        <v>15</v>
      </c>
      <c r="J819" s="34" t="str">
        <f>IF(E819="","",raw_data!C811)</f>
        <v/>
      </c>
      <c r="K819" s="92"/>
      <c r="L819" s="93"/>
      <c r="M819" s="19" t="str">
        <f>IF(E819="","",raw_data!F811)</f>
        <v/>
      </c>
      <c r="N819" s="20" t="str">
        <f t="shared" si="30"/>
        <v/>
      </c>
      <c r="O819" s="92"/>
      <c r="P819" s="94"/>
      <c r="Q819" s="94"/>
      <c r="R819" s="95"/>
      <c r="S819" s="41" t="str">
        <f t="shared" si="29"/>
        <v/>
      </c>
    </row>
    <row r="820" spans="1:19" ht="15" customHeight="1" x14ac:dyDescent="0.2">
      <c r="A820" s="9">
        <v>20006</v>
      </c>
      <c r="B820" s="9" t="s">
        <v>366</v>
      </c>
      <c r="C820" s="9" t="s">
        <v>371</v>
      </c>
      <c r="D820" s="23"/>
      <c r="E820" s="42"/>
      <c r="F820" s="43"/>
      <c r="G820" s="42"/>
      <c r="H820" s="43"/>
      <c r="I820" s="25" t="s">
        <v>15</v>
      </c>
      <c r="J820" s="34" t="str">
        <f>IF(E820="","",raw_data!C812)</f>
        <v/>
      </c>
      <c r="K820" s="92"/>
      <c r="L820" s="93"/>
      <c r="M820" s="19" t="str">
        <f>IF(E820="","",raw_data!F812)</f>
        <v/>
      </c>
      <c r="N820" s="20" t="str">
        <f t="shared" si="30"/>
        <v/>
      </c>
      <c r="O820" s="92"/>
      <c r="P820" s="94"/>
      <c r="Q820" s="94"/>
      <c r="R820" s="95"/>
      <c r="S820" s="41" t="str">
        <f t="shared" si="29"/>
        <v/>
      </c>
    </row>
    <row r="821" spans="1:19" ht="15" customHeight="1" x14ac:dyDescent="0.2">
      <c r="A821" s="9">
        <v>20007</v>
      </c>
      <c r="B821" s="9" t="s">
        <v>366</v>
      </c>
      <c r="C821" s="9" t="s">
        <v>372</v>
      </c>
      <c r="D821" s="23"/>
      <c r="E821" s="42"/>
      <c r="F821" s="43"/>
      <c r="G821" s="42"/>
      <c r="H821" s="43"/>
      <c r="I821" s="25" t="s">
        <v>15</v>
      </c>
      <c r="J821" s="34" t="str">
        <f>IF(E821="","",raw_data!C813)</f>
        <v/>
      </c>
      <c r="K821" s="92"/>
      <c r="L821" s="93"/>
      <c r="M821" s="19" t="str">
        <f>IF(E821="","",raw_data!F813)</f>
        <v/>
      </c>
      <c r="N821" s="20" t="str">
        <f t="shared" si="30"/>
        <v/>
      </c>
      <c r="O821" s="92"/>
      <c r="P821" s="94"/>
      <c r="Q821" s="94"/>
      <c r="R821" s="95"/>
      <c r="S821" s="41" t="str">
        <f t="shared" si="29"/>
        <v/>
      </c>
    </row>
    <row r="822" spans="1:19" ht="15" customHeight="1" x14ac:dyDescent="0.2">
      <c r="A822" s="9">
        <v>20008</v>
      </c>
      <c r="B822" s="9" t="s">
        <v>366</v>
      </c>
      <c r="C822" s="9" t="s">
        <v>373</v>
      </c>
      <c r="D822" s="23"/>
      <c r="E822" s="42"/>
      <c r="F822" s="43"/>
      <c r="G822" s="42"/>
      <c r="H822" s="43"/>
      <c r="I822" s="25" t="s">
        <v>15</v>
      </c>
      <c r="J822" s="34" t="str">
        <f>IF(E822="","",raw_data!C814)</f>
        <v/>
      </c>
      <c r="K822" s="92"/>
      <c r="L822" s="93"/>
      <c r="M822" s="19" t="str">
        <f>IF(E822="","",raw_data!F814)</f>
        <v/>
      </c>
      <c r="N822" s="20" t="str">
        <f t="shared" si="30"/>
        <v/>
      </c>
      <c r="O822" s="92"/>
      <c r="P822" s="94"/>
      <c r="Q822" s="94"/>
      <c r="R822" s="95"/>
      <c r="S822" s="41" t="str">
        <f t="shared" si="29"/>
        <v/>
      </c>
    </row>
    <row r="823" spans="1:19" ht="15" customHeight="1" x14ac:dyDescent="0.2">
      <c r="A823" s="9">
        <v>20009</v>
      </c>
      <c r="B823" s="9" t="s">
        <v>366</v>
      </c>
      <c r="C823" s="9" t="s">
        <v>374</v>
      </c>
      <c r="D823" s="23"/>
      <c r="E823" s="42"/>
      <c r="F823" s="43"/>
      <c r="G823" s="42"/>
      <c r="H823" s="43"/>
      <c r="I823" s="25" t="s">
        <v>15</v>
      </c>
      <c r="J823" s="34" t="str">
        <f>IF(E823="","",raw_data!C815)</f>
        <v/>
      </c>
      <c r="K823" s="92"/>
      <c r="L823" s="93"/>
      <c r="M823" s="19" t="str">
        <f>IF(E823="","",raw_data!F815)</f>
        <v/>
      </c>
      <c r="N823" s="20" t="str">
        <f t="shared" si="30"/>
        <v/>
      </c>
      <c r="O823" s="92"/>
      <c r="P823" s="94"/>
      <c r="Q823" s="94"/>
      <c r="R823" s="95"/>
      <c r="S823" s="41" t="str">
        <f t="shared" si="29"/>
        <v/>
      </c>
    </row>
    <row r="824" spans="1:19" ht="15" customHeight="1" x14ac:dyDescent="0.2">
      <c r="A824" s="9">
        <v>20010</v>
      </c>
      <c r="B824" s="9" t="s">
        <v>366</v>
      </c>
      <c r="C824" s="9" t="s">
        <v>375</v>
      </c>
      <c r="D824" s="23"/>
      <c r="E824" s="42"/>
      <c r="F824" s="43"/>
      <c r="G824" s="42"/>
      <c r="H824" s="43"/>
      <c r="I824" s="25" t="s">
        <v>15</v>
      </c>
      <c r="J824" s="34" t="str">
        <f>IF(E824="","",raw_data!C816)</f>
        <v/>
      </c>
      <c r="K824" s="92"/>
      <c r="L824" s="93"/>
      <c r="M824" s="19" t="str">
        <f>IF(E824="","",raw_data!F816)</f>
        <v/>
      </c>
      <c r="N824" s="20" t="str">
        <f t="shared" si="30"/>
        <v/>
      </c>
      <c r="O824" s="92"/>
      <c r="P824" s="94"/>
      <c r="Q824" s="94"/>
      <c r="R824" s="95"/>
      <c r="S824" s="41" t="str">
        <f t="shared" si="29"/>
        <v/>
      </c>
    </row>
    <row r="825" spans="1:19" ht="15" customHeight="1" x14ac:dyDescent="0.2">
      <c r="A825" s="9">
        <v>20011</v>
      </c>
      <c r="B825" s="9" t="s">
        <v>366</v>
      </c>
      <c r="C825" s="9" t="s">
        <v>31</v>
      </c>
      <c r="D825" s="23"/>
      <c r="E825" s="42">
        <v>1</v>
      </c>
      <c r="F825" s="43"/>
      <c r="G825" s="42" t="s">
        <v>155</v>
      </c>
      <c r="H825" s="43"/>
      <c r="I825" s="25" t="s">
        <v>15</v>
      </c>
      <c r="J825" s="34">
        <f>IF(E825="","",raw_data!C817)</f>
        <v>0</v>
      </c>
      <c r="K825" s="92"/>
      <c r="L825" s="93"/>
      <c r="M825" s="19">
        <f>IF(E825="","",raw_data!F817)</f>
        <v>0</v>
      </c>
      <c r="N825" s="20" t="str">
        <f t="shared" si="30"/>
        <v>-</v>
      </c>
      <c r="O825" s="92"/>
      <c r="P825" s="94"/>
      <c r="Q825" s="94"/>
      <c r="R825" s="95"/>
      <c r="S825" s="41" t="str">
        <f t="shared" si="29"/>
        <v>erfüllt</v>
      </c>
    </row>
    <row r="826" spans="1:19" ht="15" customHeight="1" x14ac:dyDescent="0.2">
      <c r="A826" s="9">
        <v>20012</v>
      </c>
      <c r="B826" s="9" t="s">
        <v>366</v>
      </c>
      <c r="C826" s="9" t="s">
        <v>376</v>
      </c>
      <c r="D826" s="23"/>
      <c r="E826" s="42"/>
      <c r="F826" s="43"/>
      <c r="G826" s="42"/>
      <c r="H826" s="43"/>
      <c r="I826" s="25" t="s">
        <v>15</v>
      </c>
      <c r="J826" s="34" t="str">
        <f>IF(E826="","",raw_data!C818)</f>
        <v/>
      </c>
      <c r="K826" s="92"/>
      <c r="L826" s="93"/>
      <c r="M826" s="19" t="str">
        <f>IF(E826="","",raw_data!F818)</f>
        <v/>
      </c>
      <c r="N826" s="20" t="str">
        <f t="shared" si="30"/>
        <v/>
      </c>
      <c r="O826" s="92"/>
      <c r="P826" s="94"/>
      <c r="Q826" s="94"/>
      <c r="R826" s="95"/>
      <c r="S826" s="41" t="str">
        <f t="shared" si="29"/>
        <v/>
      </c>
    </row>
  </sheetData>
  <autoFilter ref="A8:S8" xr:uid="{EE625EF9-60C2-4975-8C33-456006461D96}"/>
  <mergeCells count="1458">
    <mergeCell ref="E826:F826"/>
    <mergeCell ref="G826:H826"/>
    <mergeCell ref="E822:F822"/>
    <mergeCell ref="G822:H822"/>
    <mergeCell ref="E823:F823"/>
    <mergeCell ref="G823:H823"/>
    <mergeCell ref="E824:F824"/>
    <mergeCell ref="G824:H824"/>
    <mergeCell ref="E819:F819"/>
    <mergeCell ref="G819:H819"/>
    <mergeCell ref="E820:F820"/>
    <mergeCell ref="G820:H820"/>
    <mergeCell ref="E821:F821"/>
    <mergeCell ref="G821:H821"/>
    <mergeCell ref="E815:F815"/>
    <mergeCell ref="G815:H815"/>
    <mergeCell ref="K815:L826"/>
    <mergeCell ref="O815:R826"/>
    <mergeCell ref="E816:F816"/>
    <mergeCell ref="G816:H816"/>
    <mergeCell ref="E817:F817"/>
    <mergeCell ref="G817:H817"/>
    <mergeCell ref="E818:F818"/>
    <mergeCell ref="G818:H818"/>
    <mergeCell ref="E812:F812"/>
    <mergeCell ref="G812:H812"/>
    <mergeCell ref="E813:F813"/>
    <mergeCell ref="G813:H813"/>
    <mergeCell ref="E814:F814"/>
    <mergeCell ref="G814:H814"/>
    <mergeCell ref="E809:F809"/>
    <mergeCell ref="G809:H809"/>
    <mergeCell ref="E810:F810"/>
    <mergeCell ref="G810:H810"/>
    <mergeCell ref="E811:F811"/>
    <mergeCell ref="G811:H811"/>
    <mergeCell ref="K129:L814"/>
    <mergeCell ref="O129:R814"/>
    <mergeCell ref="E130:F130"/>
    <mergeCell ref="G130:H130"/>
    <mergeCell ref="E131:F131"/>
    <mergeCell ref="G131:H131"/>
    <mergeCell ref="E132:F132"/>
    <mergeCell ref="G132:H132"/>
    <mergeCell ref="E133:F133"/>
    <mergeCell ref="G133:H133"/>
    <mergeCell ref="E825:F825"/>
    <mergeCell ref="G825:H825"/>
    <mergeCell ref="E806:F806"/>
    <mergeCell ref="G806:H806"/>
    <mergeCell ref="E807:F807"/>
    <mergeCell ref="G807:H807"/>
    <mergeCell ref="E808:F808"/>
    <mergeCell ref="G808:H808"/>
    <mergeCell ref="E803:F803"/>
    <mergeCell ref="G803:H803"/>
    <mergeCell ref="E804:F804"/>
    <mergeCell ref="G804:H804"/>
    <mergeCell ref="E805:F805"/>
    <mergeCell ref="G805:H805"/>
    <mergeCell ref="E800:F800"/>
    <mergeCell ref="G800:H800"/>
    <mergeCell ref="E801:F801"/>
    <mergeCell ref="G801:H801"/>
    <mergeCell ref="E802:F802"/>
    <mergeCell ref="G802:H802"/>
    <mergeCell ref="E797:F797"/>
    <mergeCell ref="G797:H797"/>
    <mergeCell ref="E798:F798"/>
    <mergeCell ref="G798:H798"/>
    <mergeCell ref="E799:F799"/>
    <mergeCell ref="G799:H799"/>
    <mergeCell ref="E794:F794"/>
    <mergeCell ref="G794:H794"/>
    <mergeCell ref="E795:F795"/>
    <mergeCell ref="G795:H795"/>
    <mergeCell ref="E796:F796"/>
    <mergeCell ref="G796:H796"/>
    <mergeCell ref="E791:F791"/>
    <mergeCell ref="G791:H791"/>
    <mergeCell ref="E792:F792"/>
    <mergeCell ref="G792:H792"/>
    <mergeCell ref="E793:F793"/>
    <mergeCell ref="G793:H793"/>
    <mergeCell ref="E788:F788"/>
    <mergeCell ref="G788:H788"/>
    <mergeCell ref="E789:F789"/>
    <mergeCell ref="G789:H789"/>
    <mergeCell ref="E790:F790"/>
    <mergeCell ref="G790:H790"/>
    <mergeCell ref="E785:F785"/>
    <mergeCell ref="G785:H785"/>
    <mergeCell ref="E786:F786"/>
    <mergeCell ref="G786:H786"/>
    <mergeCell ref="E787:F787"/>
    <mergeCell ref="G787:H787"/>
    <mergeCell ref="E782:F782"/>
    <mergeCell ref="G782:H782"/>
    <mergeCell ref="E783:F783"/>
    <mergeCell ref="G783:H783"/>
    <mergeCell ref="E784:F784"/>
    <mergeCell ref="G784:H784"/>
    <mergeCell ref="E779:F779"/>
    <mergeCell ref="G779:H779"/>
    <mergeCell ref="E780:F780"/>
    <mergeCell ref="G780:H780"/>
    <mergeCell ref="E781:F781"/>
    <mergeCell ref="G781:H781"/>
    <mergeCell ref="E776:F776"/>
    <mergeCell ref="G776:H776"/>
    <mergeCell ref="E777:F777"/>
    <mergeCell ref="G777:H777"/>
    <mergeCell ref="E778:F778"/>
    <mergeCell ref="G778:H778"/>
    <mergeCell ref="E773:F773"/>
    <mergeCell ref="G773:H773"/>
    <mergeCell ref="E774:F774"/>
    <mergeCell ref="G774:H774"/>
    <mergeCell ref="E775:F775"/>
    <mergeCell ref="G775:H775"/>
    <mergeCell ref="E770:F770"/>
    <mergeCell ref="G770:H770"/>
    <mergeCell ref="E771:F771"/>
    <mergeCell ref="G771:H771"/>
    <mergeCell ref="E772:F772"/>
    <mergeCell ref="G772:H772"/>
    <mergeCell ref="E767:F767"/>
    <mergeCell ref="G767:H767"/>
    <mergeCell ref="E768:F768"/>
    <mergeCell ref="G768:H768"/>
    <mergeCell ref="E769:F769"/>
    <mergeCell ref="G769:H769"/>
    <mergeCell ref="E764:F764"/>
    <mergeCell ref="G764:H764"/>
    <mergeCell ref="E765:F765"/>
    <mergeCell ref="G765:H765"/>
    <mergeCell ref="E766:F766"/>
    <mergeCell ref="G766:H766"/>
    <mergeCell ref="E761:F761"/>
    <mergeCell ref="G761:H761"/>
    <mergeCell ref="E762:F762"/>
    <mergeCell ref="G762:H762"/>
    <mergeCell ref="E763:F763"/>
    <mergeCell ref="G763:H763"/>
    <mergeCell ref="E758:F758"/>
    <mergeCell ref="G758:H758"/>
    <mergeCell ref="E759:F759"/>
    <mergeCell ref="G759:H759"/>
    <mergeCell ref="E760:F760"/>
    <mergeCell ref="G760:H760"/>
    <mergeCell ref="E755:F755"/>
    <mergeCell ref="G755:H755"/>
    <mergeCell ref="E756:F756"/>
    <mergeCell ref="G756:H756"/>
    <mergeCell ref="E757:F757"/>
    <mergeCell ref="G757:H757"/>
    <mergeCell ref="E752:F752"/>
    <mergeCell ref="G752:H752"/>
    <mergeCell ref="E753:F753"/>
    <mergeCell ref="G753:H753"/>
    <mergeCell ref="E754:F754"/>
    <mergeCell ref="G754:H754"/>
    <mergeCell ref="E749:F749"/>
    <mergeCell ref="G749:H749"/>
    <mergeCell ref="E750:F750"/>
    <mergeCell ref="G750:H750"/>
    <mergeCell ref="E751:F751"/>
    <mergeCell ref="G751:H751"/>
    <mergeCell ref="E746:F746"/>
    <mergeCell ref="G746:H746"/>
    <mergeCell ref="E747:F747"/>
    <mergeCell ref="G747:H747"/>
    <mergeCell ref="E748:F748"/>
    <mergeCell ref="G748:H748"/>
    <mergeCell ref="E743:F743"/>
    <mergeCell ref="G743:H743"/>
    <mergeCell ref="E744:F744"/>
    <mergeCell ref="G744:H744"/>
    <mergeCell ref="E745:F745"/>
    <mergeCell ref="G745:H745"/>
    <mergeCell ref="E740:F740"/>
    <mergeCell ref="G740:H740"/>
    <mergeCell ref="E741:F741"/>
    <mergeCell ref="G741:H741"/>
    <mergeCell ref="E742:F742"/>
    <mergeCell ref="G742:H742"/>
    <mergeCell ref="E737:F737"/>
    <mergeCell ref="G737:H737"/>
    <mergeCell ref="E738:F738"/>
    <mergeCell ref="G738:H738"/>
    <mergeCell ref="E739:F739"/>
    <mergeCell ref="G739:H739"/>
    <mergeCell ref="E734:F734"/>
    <mergeCell ref="G734:H734"/>
    <mergeCell ref="E735:F735"/>
    <mergeCell ref="G735:H735"/>
    <mergeCell ref="E736:F736"/>
    <mergeCell ref="G736:H736"/>
    <mergeCell ref="E731:F731"/>
    <mergeCell ref="G731:H731"/>
    <mergeCell ref="E732:F732"/>
    <mergeCell ref="G732:H732"/>
    <mergeCell ref="E733:F733"/>
    <mergeCell ref="G733:H733"/>
    <mergeCell ref="E728:F728"/>
    <mergeCell ref="G728:H728"/>
    <mergeCell ref="E729:F729"/>
    <mergeCell ref="G729:H729"/>
    <mergeCell ref="E730:F730"/>
    <mergeCell ref="G730:H730"/>
    <mergeCell ref="E725:F725"/>
    <mergeCell ref="G725:H725"/>
    <mergeCell ref="E726:F726"/>
    <mergeCell ref="G726:H726"/>
    <mergeCell ref="E727:F727"/>
    <mergeCell ref="G727:H727"/>
    <mergeCell ref="E722:F722"/>
    <mergeCell ref="G722:H722"/>
    <mergeCell ref="E723:F723"/>
    <mergeCell ref="G723:H723"/>
    <mergeCell ref="E724:F724"/>
    <mergeCell ref="G724:H724"/>
    <mergeCell ref="E719:F719"/>
    <mergeCell ref="G719:H719"/>
    <mergeCell ref="E720:F720"/>
    <mergeCell ref="G720:H720"/>
    <mergeCell ref="E721:F721"/>
    <mergeCell ref="G721:H721"/>
    <mergeCell ref="E716:F716"/>
    <mergeCell ref="G716:H716"/>
    <mergeCell ref="E717:F717"/>
    <mergeCell ref="G717:H717"/>
    <mergeCell ref="E718:F718"/>
    <mergeCell ref="G718:H718"/>
    <mergeCell ref="E713:F713"/>
    <mergeCell ref="G713:H713"/>
    <mergeCell ref="E714:F714"/>
    <mergeCell ref="G714:H714"/>
    <mergeCell ref="E715:F715"/>
    <mergeCell ref="G715:H715"/>
    <mergeCell ref="E710:F710"/>
    <mergeCell ref="G710:H710"/>
    <mergeCell ref="E711:F711"/>
    <mergeCell ref="G711:H711"/>
    <mergeCell ref="E712:F712"/>
    <mergeCell ref="G712:H712"/>
    <mergeCell ref="E707:F707"/>
    <mergeCell ref="G707:H707"/>
    <mergeCell ref="E708:F708"/>
    <mergeCell ref="G708:H708"/>
    <mergeCell ref="E709:F709"/>
    <mergeCell ref="G709:H709"/>
    <mergeCell ref="E704:F704"/>
    <mergeCell ref="G704:H704"/>
    <mergeCell ref="E705:F705"/>
    <mergeCell ref="G705:H705"/>
    <mergeCell ref="E706:F706"/>
    <mergeCell ref="G706:H706"/>
    <mergeCell ref="E701:F701"/>
    <mergeCell ref="G701:H701"/>
    <mergeCell ref="E702:F702"/>
    <mergeCell ref="G702:H702"/>
    <mergeCell ref="E703:F703"/>
    <mergeCell ref="G703:H703"/>
    <mergeCell ref="E698:F698"/>
    <mergeCell ref="G698:H698"/>
    <mergeCell ref="E699:F699"/>
    <mergeCell ref="G699:H699"/>
    <mergeCell ref="E700:F700"/>
    <mergeCell ref="G700:H700"/>
    <mergeCell ref="E695:F695"/>
    <mergeCell ref="G695:H695"/>
    <mergeCell ref="E696:F696"/>
    <mergeCell ref="G696:H696"/>
    <mergeCell ref="E697:F697"/>
    <mergeCell ref="G697:H697"/>
    <mergeCell ref="E692:F692"/>
    <mergeCell ref="G692:H692"/>
    <mergeCell ref="E693:F693"/>
    <mergeCell ref="G693:H693"/>
    <mergeCell ref="E694:F694"/>
    <mergeCell ref="G694:H694"/>
    <mergeCell ref="E689:F689"/>
    <mergeCell ref="G689:H689"/>
    <mergeCell ref="E690:F690"/>
    <mergeCell ref="G690:H690"/>
    <mergeCell ref="E691:F691"/>
    <mergeCell ref="G691:H691"/>
    <mergeCell ref="E686:F686"/>
    <mergeCell ref="G686:H686"/>
    <mergeCell ref="E687:F687"/>
    <mergeCell ref="G687:H687"/>
    <mergeCell ref="E688:F688"/>
    <mergeCell ref="G688:H688"/>
    <mergeCell ref="E683:F683"/>
    <mergeCell ref="G683:H683"/>
    <mergeCell ref="E684:F684"/>
    <mergeCell ref="G684:H684"/>
    <mergeCell ref="E685:F685"/>
    <mergeCell ref="G685:H685"/>
    <mergeCell ref="E680:F680"/>
    <mergeCell ref="G680:H680"/>
    <mergeCell ref="E681:F681"/>
    <mergeCell ref="G681:H681"/>
    <mergeCell ref="E682:F682"/>
    <mergeCell ref="G682:H682"/>
    <mergeCell ref="E677:F677"/>
    <mergeCell ref="G677:H677"/>
    <mergeCell ref="E678:F678"/>
    <mergeCell ref="G678:H678"/>
    <mergeCell ref="E679:F679"/>
    <mergeCell ref="G679:H679"/>
    <mergeCell ref="E674:F674"/>
    <mergeCell ref="G674:H674"/>
    <mergeCell ref="E675:F675"/>
    <mergeCell ref="G675:H675"/>
    <mergeCell ref="E676:F676"/>
    <mergeCell ref="G676:H676"/>
    <mergeCell ref="E671:F671"/>
    <mergeCell ref="G671:H671"/>
    <mergeCell ref="E672:F672"/>
    <mergeCell ref="G672:H672"/>
    <mergeCell ref="E673:F673"/>
    <mergeCell ref="G673:H673"/>
    <mergeCell ref="E668:F668"/>
    <mergeCell ref="G668:H668"/>
    <mergeCell ref="E669:F669"/>
    <mergeCell ref="G669:H669"/>
    <mergeCell ref="E670:F670"/>
    <mergeCell ref="G670:H670"/>
    <mergeCell ref="E665:F665"/>
    <mergeCell ref="G665:H665"/>
    <mergeCell ref="E666:F666"/>
    <mergeCell ref="G666:H666"/>
    <mergeCell ref="E667:F667"/>
    <mergeCell ref="G667:H667"/>
    <mergeCell ref="E662:F662"/>
    <mergeCell ref="G662:H662"/>
    <mergeCell ref="E663:F663"/>
    <mergeCell ref="G663:H663"/>
    <mergeCell ref="E664:F664"/>
    <mergeCell ref="G664:H664"/>
    <mergeCell ref="E659:F659"/>
    <mergeCell ref="G659:H659"/>
    <mergeCell ref="E660:F660"/>
    <mergeCell ref="G660:H660"/>
    <mergeCell ref="E661:F661"/>
    <mergeCell ref="G661:H661"/>
    <mergeCell ref="E656:F656"/>
    <mergeCell ref="G656:H656"/>
    <mergeCell ref="E657:F657"/>
    <mergeCell ref="G657:H657"/>
    <mergeCell ref="E658:F658"/>
    <mergeCell ref="G658:H658"/>
    <mergeCell ref="E653:F653"/>
    <mergeCell ref="G653:H653"/>
    <mergeCell ref="E654:F654"/>
    <mergeCell ref="G654:H654"/>
    <mergeCell ref="E655:F655"/>
    <mergeCell ref="G655:H655"/>
    <mergeCell ref="E650:F650"/>
    <mergeCell ref="G650:H650"/>
    <mergeCell ref="E651:F651"/>
    <mergeCell ref="G651:H651"/>
    <mergeCell ref="E652:F652"/>
    <mergeCell ref="G652:H652"/>
    <mergeCell ref="E647:F647"/>
    <mergeCell ref="G647:H647"/>
    <mergeCell ref="E648:F648"/>
    <mergeCell ref="G648:H648"/>
    <mergeCell ref="E649:F649"/>
    <mergeCell ref="G649:H649"/>
    <mergeCell ref="E644:F644"/>
    <mergeCell ref="G644:H644"/>
    <mergeCell ref="E645:F645"/>
    <mergeCell ref="G645:H645"/>
    <mergeCell ref="E646:F646"/>
    <mergeCell ref="G646:H646"/>
    <mergeCell ref="E641:F641"/>
    <mergeCell ref="G641:H641"/>
    <mergeCell ref="E642:F642"/>
    <mergeCell ref="G642:H642"/>
    <mergeCell ref="E643:F643"/>
    <mergeCell ref="G643:H643"/>
    <mergeCell ref="E638:F638"/>
    <mergeCell ref="G638:H638"/>
    <mergeCell ref="E639:F639"/>
    <mergeCell ref="G639:H639"/>
    <mergeCell ref="E640:F640"/>
    <mergeCell ref="G640:H640"/>
    <mergeCell ref="E635:F635"/>
    <mergeCell ref="G635:H635"/>
    <mergeCell ref="E636:F636"/>
    <mergeCell ref="G636:H636"/>
    <mergeCell ref="E637:F637"/>
    <mergeCell ref="G637:H637"/>
    <mergeCell ref="E632:F632"/>
    <mergeCell ref="G632:H632"/>
    <mergeCell ref="E633:F633"/>
    <mergeCell ref="G633:H633"/>
    <mergeCell ref="E634:F634"/>
    <mergeCell ref="G634:H634"/>
    <mergeCell ref="E629:F629"/>
    <mergeCell ref="G629:H629"/>
    <mergeCell ref="E630:F630"/>
    <mergeCell ref="G630:H630"/>
    <mergeCell ref="E631:F631"/>
    <mergeCell ref="G631:H631"/>
    <mergeCell ref="E626:F626"/>
    <mergeCell ref="G626:H626"/>
    <mergeCell ref="E627:F627"/>
    <mergeCell ref="G627:H627"/>
    <mergeCell ref="E628:F628"/>
    <mergeCell ref="G628:H628"/>
    <mergeCell ref="E623:F623"/>
    <mergeCell ref="G623:H623"/>
    <mergeCell ref="E624:F624"/>
    <mergeCell ref="G624:H624"/>
    <mergeCell ref="E625:F625"/>
    <mergeCell ref="G625:H625"/>
    <mergeCell ref="E620:F620"/>
    <mergeCell ref="G620:H620"/>
    <mergeCell ref="E621:F621"/>
    <mergeCell ref="G621:H621"/>
    <mergeCell ref="E622:F622"/>
    <mergeCell ref="G622:H622"/>
    <mergeCell ref="E617:F617"/>
    <mergeCell ref="G617:H617"/>
    <mergeCell ref="E618:F618"/>
    <mergeCell ref="G618:H618"/>
    <mergeCell ref="E619:F619"/>
    <mergeCell ref="G619:H619"/>
    <mergeCell ref="E614:F614"/>
    <mergeCell ref="G614:H614"/>
    <mergeCell ref="E615:F615"/>
    <mergeCell ref="G615:H615"/>
    <mergeCell ref="E616:F616"/>
    <mergeCell ref="G616:H616"/>
    <mergeCell ref="E611:F611"/>
    <mergeCell ref="G611:H611"/>
    <mergeCell ref="E612:F612"/>
    <mergeCell ref="G612:H612"/>
    <mergeCell ref="E613:F613"/>
    <mergeCell ref="G613:H613"/>
    <mergeCell ref="E608:F608"/>
    <mergeCell ref="G608:H608"/>
    <mergeCell ref="E609:F609"/>
    <mergeCell ref="G609:H609"/>
    <mergeCell ref="E610:F610"/>
    <mergeCell ref="G610:H610"/>
    <mergeCell ref="E605:F605"/>
    <mergeCell ref="G605:H605"/>
    <mergeCell ref="E606:F606"/>
    <mergeCell ref="G606:H606"/>
    <mergeCell ref="E607:F607"/>
    <mergeCell ref="G607:H607"/>
    <mergeCell ref="E602:F602"/>
    <mergeCell ref="G602:H602"/>
    <mergeCell ref="E603:F603"/>
    <mergeCell ref="G603:H603"/>
    <mergeCell ref="E604:F604"/>
    <mergeCell ref="G604:H604"/>
    <mergeCell ref="E599:F599"/>
    <mergeCell ref="G599:H599"/>
    <mergeCell ref="E600:F600"/>
    <mergeCell ref="G600:H600"/>
    <mergeCell ref="E601:F601"/>
    <mergeCell ref="G601:H601"/>
    <mergeCell ref="E596:F596"/>
    <mergeCell ref="G596:H596"/>
    <mergeCell ref="E597:F597"/>
    <mergeCell ref="G597:H597"/>
    <mergeCell ref="E598:F598"/>
    <mergeCell ref="G598:H598"/>
    <mergeCell ref="E593:F593"/>
    <mergeCell ref="G593:H593"/>
    <mergeCell ref="E594:F594"/>
    <mergeCell ref="G594:H594"/>
    <mergeCell ref="E595:F595"/>
    <mergeCell ref="G595:H595"/>
    <mergeCell ref="E590:F590"/>
    <mergeCell ref="G590:H590"/>
    <mergeCell ref="E591:F591"/>
    <mergeCell ref="G591:H591"/>
    <mergeCell ref="E592:F592"/>
    <mergeCell ref="G592:H592"/>
    <mergeCell ref="E587:F587"/>
    <mergeCell ref="G587:H587"/>
    <mergeCell ref="E588:F588"/>
    <mergeCell ref="G588:H588"/>
    <mergeCell ref="E589:F589"/>
    <mergeCell ref="G589:H589"/>
    <mergeCell ref="E584:F584"/>
    <mergeCell ref="G584:H584"/>
    <mergeCell ref="E585:F585"/>
    <mergeCell ref="G585:H585"/>
    <mergeCell ref="E586:F586"/>
    <mergeCell ref="G586:H586"/>
    <mergeCell ref="E581:F581"/>
    <mergeCell ref="G581:H581"/>
    <mergeCell ref="E582:F582"/>
    <mergeCell ref="G582:H582"/>
    <mergeCell ref="E583:F583"/>
    <mergeCell ref="G583:H583"/>
    <mergeCell ref="E578:F578"/>
    <mergeCell ref="G578:H578"/>
    <mergeCell ref="E579:F579"/>
    <mergeCell ref="G579:H579"/>
    <mergeCell ref="E580:F580"/>
    <mergeCell ref="G580:H580"/>
    <mergeCell ref="E575:F575"/>
    <mergeCell ref="G575:H575"/>
    <mergeCell ref="E576:F576"/>
    <mergeCell ref="G576:H576"/>
    <mergeCell ref="E577:F577"/>
    <mergeCell ref="G577:H577"/>
    <mergeCell ref="E572:F572"/>
    <mergeCell ref="G572:H572"/>
    <mergeCell ref="E573:F573"/>
    <mergeCell ref="G573:H573"/>
    <mergeCell ref="E574:F574"/>
    <mergeCell ref="G574:H574"/>
    <mergeCell ref="E569:F569"/>
    <mergeCell ref="G569:H569"/>
    <mergeCell ref="E570:F570"/>
    <mergeCell ref="G570:H570"/>
    <mergeCell ref="E571:F571"/>
    <mergeCell ref="G571:H571"/>
    <mergeCell ref="E566:F566"/>
    <mergeCell ref="G566:H566"/>
    <mergeCell ref="E567:F567"/>
    <mergeCell ref="G567:H567"/>
    <mergeCell ref="E568:F568"/>
    <mergeCell ref="G568:H568"/>
    <mergeCell ref="E563:F563"/>
    <mergeCell ref="G563:H563"/>
    <mergeCell ref="E564:F564"/>
    <mergeCell ref="G564:H564"/>
    <mergeCell ref="E565:F565"/>
    <mergeCell ref="G565:H565"/>
    <mergeCell ref="E560:F560"/>
    <mergeCell ref="G560:H560"/>
    <mergeCell ref="E561:F561"/>
    <mergeCell ref="G561:H561"/>
    <mergeCell ref="E562:F562"/>
    <mergeCell ref="G562:H562"/>
    <mergeCell ref="E557:F557"/>
    <mergeCell ref="G557:H557"/>
    <mergeCell ref="E558:F558"/>
    <mergeCell ref="G558:H558"/>
    <mergeCell ref="E559:F559"/>
    <mergeCell ref="G559:H559"/>
    <mergeCell ref="E554:F554"/>
    <mergeCell ref="G554:H554"/>
    <mergeCell ref="E555:F555"/>
    <mergeCell ref="G555:H555"/>
    <mergeCell ref="E556:F556"/>
    <mergeCell ref="G556:H556"/>
    <mergeCell ref="E551:F551"/>
    <mergeCell ref="G551:H551"/>
    <mergeCell ref="E552:F552"/>
    <mergeCell ref="G552:H552"/>
    <mergeCell ref="E553:F553"/>
    <mergeCell ref="G553:H553"/>
    <mergeCell ref="E548:F548"/>
    <mergeCell ref="G548:H548"/>
    <mergeCell ref="E549:F549"/>
    <mergeCell ref="G549:H549"/>
    <mergeCell ref="E550:F550"/>
    <mergeCell ref="G550:H550"/>
    <mergeCell ref="E545:F545"/>
    <mergeCell ref="G545:H545"/>
    <mergeCell ref="E546:F546"/>
    <mergeCell ref="G546:H546"/>
    <mergeCell ref="E547:F547"/>
    <mergeCell ref="G547:H547"/>
    <mergeCell ref="E542:F542"/>
    <mergeCell ref="G542:H542"/>
    <mergeCell ref="E543:F543"/>
    <mergeCell ref="G543:H543"/>
    <mergeCell ref="E544:F544"/>
    <mergeCell ref="G544:H544"/>
    <mergeCell ref="E539:F539"/>
    <mergeCell ref="G539:H539"/>
    <mergeCell ref="E540:F540"/>
    <mergeCell ref="G540:H540"/>
    <mergeCell ref="E541:F541"/>
    <mergeCell ref="G541:H541"/>
    <mergeCell ref="E536:F536"/>
    <mergeCell ref="G536:H536"/>
    <mergeCell ref="E537:F537"/>
    <mergeCell ref="G537:H537"/>
    <mergeCell ref="E538:F538"/>
    <mergeCell ref="G538:H538"/>
    <mergeCell ref="E533:F533"/>
    <mergeCell ref="G533:H533"/>
    <mergeCell ref="E534:F534"/>
    <mergeCell ref="G534:H534"/>
    <mergeCell ref="E535:F535"/>
    <mergeCell ref="G535:H535"/>
    <mergeCell ref="E530:F530"/>
    <mergeCell ref="G530:H530"/>
    <mergeCell ref="E531:F531"/>
    <mergeCell ref="G531:H531"/>
    <mergeCell ref="E532:F532"/>
    <mergeCell ref="G532:H532"/>
    <mergeCell ref="E527:F527"/>
    <mergeCell ref="G527:H527"/>
    <mergeCell ref="E528:F528"/>
    <mergeCell ref="G528:H528"/>
    <mergeCell ref="E529:F529"/>
    <mergeCell ref="G529:H529"/>
    <mergeCell ref="E524:F524"/>
    <mergeCell ref="G524:H524"/>
    <mergeCell ref="E525:F525"/>
    <mergeCell ref="G525:H525"/>
    <mergeCell ref="E526:F526"/>
    <mergeCell ref="G526:H526"/>
    <mergeCell ref="E521:F521"/>
    <mergeCell ref="G521:H521"/>
    <mergeCell ref="E522:F522"/>
    <mergeCell ref="G522:H522"/>
    <mergeCell ref="E523:F523"/>
    <mergeCell ref="G523:H523"/>
    <mergeCell ref="E518:F518"/>
    <mergeCell ref="G518:H518"/>
    <mergeCell ref="E519:F519"/>
    <mergeCell ref="G519:H519"/>
    <mergeCell ref="E520:F520"/>
    <mergeCell ref="G520:H520"/>
    <mergeCell ref="E515:F515"/>
    <mergeCell ref="G515:H515"/>
    <mergeCell ref="E516:F516"/>
    <mergeCell ref="G516:H516"/>
    <mergeCell ref="E517:F517"/>
    <mergeCell ref="G517:H517"/>
    <mergeCell ref="E512:F512"/>
    <mergeCell ref="G512:H512"/>
    <mergeCell ref="E513:F513"/>
    <mergeCell ref="G513:H513"/>
    <mergeCell ref="E514:F514"/>
    <mergeCell ref="G514:H514"/>
    <mergeCell ref="E509:F509"/>
    <mergeCell ref="G509:H509"/>
    <mergeCell ref="E510:F510"/>
    <mergeCell ref="G510:H510"/>
    <mergeCell ref="E511:F511"/>
    <mergeCell ref="G511:H511"/>
    <mergeCell ref="E506:F506"/>
    <mergeCell ref="G506:H506"/>
    <mergeCell ref="E507:F507"/>
    <mergeCell ref="G507:H507"/>
    <mergeCell ref="E508:F508"/>
    <mergeCell ref="G508:H508"/>
    <mergeCell ref="E503:F503"/>
    <mergeCell ref="G503:H503"/>
    <mergeCell ref="E504:F504"/>
    <mergeCell ref="G504:H504"/>
    <mergeCell ref="E505:F505"/>
    <mergeCell ref="G505:H505"/>
    <mergeCell ref="E500:F500"/>
    <mergeCell ref="G500:H500"/>
    <mergeCell ref="E501:F501"/>
    <mergeCell ref="G501:H501"/>
    <mergeCell ref="E502:F502"/>
    <mergeCell ref="G502:H502"/>
    <mergeCell ref="E497:F497"/>
    <mergeCell ref="G497:H497"/>
    <mergeCell ref="E498:F498"/>
    <mergeCell ref="G498:H498"/>
    <mergeCell ref="E499:F499"/>
    <mergeCell ref="G499:H499"/>
    <mergeCell ref="E494:F494"/>
    <mergeCell ref="G494:H494"/>
    <mergeCell ref="E495:F495"/>
    <mergeCell ref="G495:H495"/>
    <mergeCell ref="E496:F496"/>
    <mergeCell ref="G496:H496"/>
    <mergeCell ref="E491:F491"/>
    <mergeCell ref="G491:H491"/>
    <mergeCell ref="E492:F492"/>
    <mergeCell ref="G492:H492"/>
    <mergeCell ref="E493:F493"/>
    <mergeCell ref="G493:H493"/>
    <mergeCell ref="E488:F488"/>
    <mergeCell ref="G488:H488"/>
    <mergeCell ref="E489:F489"/>
    <mergeCell ref="G489:H489"/>
    <mergeCell ref="E490:F490"/>
    <mergeCell ref="G490:H490"/>
    <mergeCell ref="E485:F485"/>
    <mergeCell ref="G485:H485"/>
    <mergeCell ref="E486:F486"/>
    <mergeCell ref="G486:H486"/>
    <mergeCell ref="E487:F487"/>
    <mergeCell ref="G487:H487"/>
    <mergeCell ref="E482:F482"/>
    <mergeCell ref="G482:H482"/>
    <mergeCell ref="E483:F483"/>
    <mergeCell ref="G483:H483"/>
    <mergeCell ref="E484:F484"/>
    <mergeCell ref="G484:H484"/>
    <mergeCell ref="E479:F479"/>
    <mergeCell ref="G479:H479"/>
    <mergeCell ref="E480:F480"/>
    <mergeCell ref="G480:H480"/>
    <mergeCell ref="E481:F481"/>
    <mergeCell ref="G481:H481"/>
    <mergeCell ref="E476:F476"/>
    <mergeCell ref="G476:H476"/>
    <mergeCell ref="E477:F477"/>
    <mergeCell ref="G477:H477"/>
    <mergeCell ref="E478:F478"/>
    <mergeCell ref="G478:H478"/>
    <mergeCell ref="E473:F473"/>
    <mergeCell ref="G473:H473"/>
    <mergeCell ref="E474:F474"/>
    <mergeCell ref="G474:H474"/>
    <mergeCell ref="E475:F475"/>
    <mergeCell ref="G475:H475"/>
    <mergeCell ref="E470:F470"/>
    <mergeCell ref="G470:H470"/>
    <mergeCell ref="E471:F471"/>
    <mergeCell ref="G471:H471"/>
    <mergeCell ref="E472:F472"/>
    <mergeCell ref="G472:H472"/>
    <mergeCell ref="E467:F467"/>
    <mergeCell ref="G467:H467"/>
    <mergeCell ref="E468:F468"/>
    <mergeCell ref="G468:H468"/>
    <mergeCell ref="E469:F469"/>
    <mergeCell ref="G469:H469"/>
    <mergeCell ref="E464:F464"/>
    <mergeCell ref="G464:H464"/>
    <mergeCell ref="E465:F465"/>
    <mergeCell ref="G465:H465"/>
    <mergeCell ref="E466:F466"/>
    <mergeCell ref="G466:H466"/>
    <mergeCell ref="E461:F461"/>
    <mergeCell ref="G461:H461"/>
    <mergeCell ref="E462:F462"/>
    <mergeCell ref="G462:H462"/>
    <mergeCell ref="E463:F463"/>
    <mergeCell ref="G463:H463"/>
    <mergeCell ref="E458:F458"/>
    <mergeCell ref="G458:H458"/>
    <mergeCell ref="E459:F459"/>
    <mergeCell ref="G459:H459"/>
    <mergeCell ref="E460:F460"/>
    <mergeCell ref="G460:H460"/>
    <mergeCell ref="E455:F455"/>
    <mergeCell ref="G455:H455"/>
    <mergeCell ref="E456:F456"/>
    <mergeCell ref="G456:H456"/>
    <mergeCell ref="E457:F457"/>
    <mergeCell ref="G457:H457"/>
    <mergeCell ref="E452:F452"/>
    <mergeCell ref="G452:H452"/>
    <mergeCell ref="E453:F453"/>
    <mergeCell ref="G453:H453"/>
    <mergeCell ref="E454:F454"/>
    <mergeCell ref="G454:H454"/>
    <mergeCell ref="E449:F449"/>
    <mergeCell ref="G449:H449"/>
    <mergeCell ref="E450:F450"/>
    <mergeCell ref="G450:H450"/>
    <mergeCell ref="E451:F451"/>
    <mergeCell ref="G451:H451"/>
    <mergeCell ref="E446:F446"/>
    <mergeCell ref="G446:H446"/>
    <mergeCell ref="E447:F447"/>
    <mergeCell ref="G447:H447"/>
    <mergeCell ref="E448:F448"/>
    <mergeCell ref="G448:H448"/>
    <mergeCell ref="E443:F443"/>
    <mergeCell ref="G443:H443"/>
    <mergeCell ref="E444:F444"/>
    <mergeCell ref="G444:H444"/>
    <mergeCell ref="E445:F445"/>
    <mergeCell ref="G445:H445"/>
    <mergeCell ref="E440:F440"/>
    <mergeCell ref="G440:H440"/>
    <mergeCell ref="E441:F441"/>
    <mergeCell ref="G441:H441"/>
    <mergeCell ref="E442:F442"/>
    <mergeCell ref="G442:H442"/>
    <mergeCell ref="E437:F437"/>
    <mergeCell ref="G437:H437"/>
    <mergeCell ref="E438:F438"/>
    <mergeCell ref="G438:H438"/>
    <mergeCell ref="E439:F439"/>
    <mergeCell ref="G439:H439"/>
    <mergeCell ref="E434:F434"/>
    <mergeCell ref="G434:H434"/>
    <mergeCell ref="E435:F435"/>
    <mergeCell ref="G435:H435"/>
    <mergeCell ref="E436:F436"/>
    <mergeCell ref="G436:H436"/>
    <mergeCell ref="E431:F431"/>
    <mergeCell ref="G431:H431"/>
    <mergeCell ref="E432:F432"/>
    <mergeCell ref="G432:H432"/>
    <mergeCell ref="E433:F433"/>
    <mergeCell ref="G433:H433"/>
    <mergeCell ref="E428:F428"/>
    <mergeCell ref="G428:H428"/>
    <mergeCell ref="E429:F429"/>
    <mergeCell ref="G429:H429"/>
    <mergeCell ref="E430:F430"/>
    <mergeCell ref="G430:H430"/>
    <mergeCell ref="E425:F425"/>
    <mergeCell ref="G425:H425"/>
    <mergeCell ref="E426:F426"/>
    <mergeCell ref="G426:H426"/>
    <mergeCell ref="E427:F427"/>
    <mergeCell ref="G427:H427"/>
    <mergeCell ref="E422:F422"/>
    <mergeCell ref="G422:H422"/>
    <mergeCell ref="E423:F423"/>
    <mergeCell ref="G423:H423"/>
    <mergeCell ref="E424:F424"/>
    <mergeCell ref="G424:H424"/>
    <mergeCell ref="E419:F419"/>
    <mergeCell ref="G419:H419"/>
    <mergeCell ref="E420:F420"/>
    <mergeCell ref="G420:H420"/>
    <mergeCell ref="E421:F421"/>
    <mergeCell ref="G421:H421"/>
    <mergeCell ref="E416:F416"/>
    <mergeCell ref="G416:H416"/>
    <mergeCell ref="E417:F417"/>
    <mergeCell ref="G417:H417"/>
    <mergeCell ref="E418:F418"/>
    <mergeCell ref="G418:H418"/>
    <mergeCell ref="E413:F413"/>
    <mergeCell ref="G413:H413"/>
    <mergeCell ref="E414:F414"/>
    <mergeCell ref="G414:H414"/>
    <mergeCell ref="E415:F415"/>
    <mergeCell ref="G415:H415"/>
    <mergeCell ref="E410:F410"/>
    <mergeCell ref="G410:H410"/>
    <mergeCell ref="E411:F411"/>
    <mergeCell ref="G411:H411"/>
    <mergeCell ref="E412:F412"/>
    <mergeCell ref="G412:H412"/>
    <mergeCell ref="E407:F407"/>
    <mergeCell ref="G407:H407"/>
    <mergeCell ref="E408:F408"/>
    <mergeCell ref="G408:H408"/>
    <mergeCell ref="E409:F409"/>
    <mergeCell ref="G409:H409"/>
    <mergeCell ref="E404:F404"/>
    <mergeCell ref="G404:H404"/>
    <mergeCell ref="E405:F405"/>
    <mergeCell ref="G405:H405"/>
    <mergeCell ref="E406:F406"/>
    <mergeCell ref="G406:H406"/>
    <mergeCell ref="E401:F401"/>
    <mergeCell ref="G401:H401"/>
    <mergeCell ref="E402:F402"/>
    <mergeCell ref="G402:H402"/>
    <mergeCell ref="E403:F403"/>
    <mergeCell ref="G403:H403"/>
    <mergeCell ref="E398:F398"/>
    <mergeCell ref="G398:H398"/>
    <mergeCell ref="E399:F399"/>
    <mergeCell ref="G399:H399"/>
    <mergeCell ref="E400:F400"/>
    <mergeCell ref="G400:H400"/>
    <mergeCell ref="E395:F395"/>
    <mergeCell ref="G395:H395"/>
    <mergeCell ref="E396:F396"/>
    <mergeCell ref="G396:H396"/>
    <mergeCell ref="E397:F397"/>
    <mergeCell ref="G397:H397"/>
    <mergeCell ref="E392:F392"/>
    <mergeCell ref="G392:H392"/>
    <mergeCell ref="E393:F393"/>
    <mergeCell ref="G393:H393"/>
    <mergeCell ref="E394:F394"/>
    <mergeCell ref="G394:H394"/>
    <mergeCell ref="E389:F389"/>
    <mergeCell ref="G389:H389"/>
    <mergeCell ref="E390:F390"/>
    <mergeCell ref="G390:H390"/>
    <mergeCell ref="E391:F391"/>
    <mergeCell ref="G391:H391"/>
    <mergeCell ref="E386:F386"/>
    <mergeCell ref="G386:H386"/>
    <mergeCell ref="E387:F387"/>
    <mergeCell ref="G387:H387"/>
    <mergeCell ref="E388:F388"/>
    <mergeCell ref="G388:H388"/>
    <mergeCell ref="E383:F383"/>
    <mergeCell ref="G383:H383"/>
    <mergeCell ref="E384:F384"/>
    <mergeCell ref="G384:H384"/>
    <mergeCell ref="E385:F385"/>
    <mergeCell ref="G385:H385"/>
    <mergeCell ref="E380:F380"/>
    <mergeCell ref="G380:H380"/>
    <mergeCell ref="E381:F381"/>
    <mergeCell ref="G381:H381"/>
    <mergeCell ref="E382:F382"/>
    <mergeCell ref="G382:H382"/>
    <mergeCell ref="E377:F377"/>
    <mergeCell ref="G377:H377"/>
    <mergeCell ref="E378:F378"/>
    <mergeCell ref="G378:H378"/>
    <mergeCell ref="E379:F379"/>
    <mergeCell ref="G379:H379"/>
    <mergeCell ref="E374:F374"/>
    <mergeCell ref="G374:H374"/>
    <mergeCell ref="E375:F375"/>
    <mergeCell ref="G375:H375"/>
    <mergeCell ref="E376:F376"/>
    <mergeCell ref="G376:H376"/>
    <mergeCell ref="E371:F371"/>
    <mergeCell ref="G371:H371"/>
    <mergeCell ref="E372:F372"/>
    <mergeCell ref="G372:H372"/>
    <mergeCell ref="E373:F373"/>
    <mergeCell ref="G373:H373"/>
    <mergeCell ref="E368:F368"/>
    <mergeCell ref="G368:H368"/>
    <mergeCell ref="E369:F369"/>
    <mergeCell ref="G369:H369"/>
    <mergeCell ref="E370:F370"/>
    <mergeCell ref="G370:H370"/>
    <mergeCell ref="E365:F365"/>
    <mergeCell ref="G365:H365"/>
    <mergeCell ref="E366:F366"/>
    <mergeCell ref="G366:H366"/>
    <mergeCell ref="E367:F367"/>
    <mergeCell ref="G367:H367"/>
    <mergeCell ref="E362:F362"/>
    <mergeCell ref="G362:H362"/>
    <mergeCell ref="E363:F363"/>
    <mergeCell ref="G363:H363"/>
    <mergeCell ref="E364:F364"/>
    <mergeCell ref="G364:H364"/>
    <mergeCell ref="E359:F359"/>
    <mergeCell ref="G359:H359"/>
    <mergeCell ref="E360:F360"/>
    <mergeCell ref="G360:H360"/>
    <mergeCell ref="E361:F361"/>
    <mergeCell ref="G361:H361"/>
    <mergeCell ref="E356:F356"/>
    <mergeCell ref="G356:H356"/>
    <mergeCell ref="E357:F357"/>
    <mergeCell ref="G357:H357"/>
    <mergeCell ref="E358:F358"/>
    <mergeCell ref="G358:H358"/>
    <mergeCell ref="E353:F353"/>
    <mergeCell ref="G353:H353"/>
    <mergeCell ref="E354:F354"/>
    <mergeCell ref="G354:H354"/>
    <mergeCell ref="E355:F355"/>
    <mergeCell ref="G355:H355"/>
    <mergeCell ref="E350:F350"/>
    <mergeCell ref="G350:H350"/>
    <mergeCell ref="E351:F351"/>
    <mergeCell ref="G351:H351"/>
    <mergeCell ref="E352:F352"/>
    <mergeCell ref="G352:H352"/>
    <mergeCell ref="E347:F347"/>
    <mergeCell ref="G347:H347"/>
    <mergeCell ref="E348:F348"/>
    <mergeCell ref="G348:H348"/>
    <mergeCell ref="E349:F349"/>
    <mergeCell ref="G349:H349"/>
    <mergeCell ref="E344:F344"/>
    <mergeCell ref="G344:H344"/>
    <mergeCell ref="E345:F345"/>
    <mergeCell ref="G345:H345"/>
    <mergeCell ref="E346:F346"/>
    <mergeCell ref="G346:H346"/>
    <mergeCell ref="E341:F341"/>
    <mergeCell ref="G341:H341"/>
    <mergeCell ref="E342:F342"/>
    <mergeCell ref="G342:H342"/>
    <mergeCell ref="E343:F343"/>
    <mergeCell ref="G343:H343"/>
    <mergeCell ref="E338:F338"/>
    <mergeCell ref="G338:H338"/>
    <mergeCell ref="E339:F339"/>
    <mergeCell ref="G339:H339"/>
    <mergeCell ref="E340:F340"/>
    <mergeCell ref="G340:H340"/>
    <mergeCell ref="E335:F335"/>
    <mergeCell ref="G335:H335"/>
    <mergeCell ref="E336:F336"/>
    <mergeCell ref="G336:H336"/>
    <mergeCell ref="E337:F337"/>
    <mergeCell ref="G337:H337"/>
    <mergeCell ref="E332:F332"/>
    <mergeCell ref="G332:H332"/>
    <mergeCell ref="E333:F333"/>
    <mergeCell ref="G333:H333"/>
    <mergeCell ref="E334:F334"/>
    <mergeCell ref="G334:H334"/>
    <mergeCell ref="E329:F329"/>
    <mergeCell ref="G329:H329"/>
    <mergeCell ref="E330:F330"/>
    <mergeCell ref="G330:H330"/>
    <mergeCell ref="E331:F331"/>
    <mergeCell ref="G331:H331"/>
    <mergeCell ref="E326:F326"/>
    <mergeCell ref="G326:H326"/>
    <mergeCell ref="E327:F327"/>
    <mergeCell ref="G327:H327"/>
    <mergeCell ref="E328:F328"/>
    <mergeCell ref="G328:H328"/>
    <mergeCell ref="E323:F323"/>
    <mergeCell ref="G323:H323"/>
    <mergeCell ref="E324:F324"/>
    <mergeCell ref="G324:H324"/>
    <mergeCell ref="E325:F325"/>
    <mergeCell ref="G325:H325"/>
    <mergeCell ref="E320:F320"/>
    <mergeCell ref="G320:H320"/>
    <mergeCell ref="E321:F321"/>
    <mergeCell ref="G321:H321"/>
    <mergeCell ref="E322:F322"/>
    <mergeCell ref="G322:H322"/>
    <mergeCell ref="E317:F317"/>
    <mergeCell ref="G317:H317"/>
    <mergeCell ref="E318:F318"/>
    <mergeCell ref="G318:H318"/>
    <mergeCell ref="E319:F319"/>
    <mergeCell ref="G319:H319"/>
    <mergeCell ref="E314:F314"/>
    <mergeCell ref="G314:H314"/>
    <mergeCell ref="E315:F315"/>
    <mergeCell ref="G315:H315"/>
    <mergeCell ref="E316:F316"/>
    <mergeCell ref="G316:H316"/>
    <mergeCell ref="E311:F311"/>
    <mergeCell ref="G311:H311"/>
    <mergeCell ref="E312:F312"/>
    <mergeCell ref="G312:H312"/>
    <mergeCell ref="E313:F313"/>
    <mergeCell ref="G313:H313"/>
    <mergeCell ref="E308:F308"/>
    <mergeCell ref="G308:H308"/>
    <mergeCell ref="E309:F309"/>
    <mergeCell ref="G309:H309"/>
    <mergeCell ref="E310:F310"/>
    <mergeCell ref="G310:H310"/>
    <mergeCell ref="E305:F305"/>
    <mergeCell ref="G305:H305"/>
    <mergeCell ref="E306:F306"/>
    <mergeCell ref="G306:H306"/>
    <mergeCell ref="E307:F307"/>
    <mergeCell ref="G307:H307"/>
    <mergeCell ref="E302:F302"/>
    <mergeCell ref="G302:H302"/>
    <mergeCell ref="E303:F303"/>
    <mergeCell ref="G303:H303"/>
    <mergeCell ref="E304:F304"/>
    <mergeCell ref="G304:H304"/>
    <mergeCell ref="E299:F299"/>
    <mergeCell ref="G299:H299"/>
    <mergeCell ref="E300:F300"/>
    <mergeCell ref="G300:H300"/>
    <mergeCell ref="E301:F301"/>
    <mergeCell ref="G301:H301"/>
    <mergeCell ref="E296:F296"/>
    <mergeCell ref="G296:H296"/>
    <mergeCell ref="E297:F297"/>
    <mergeCell ref="G297:H297"/>
    <mergeCell ref="E298:F298"/>
    <mergeCell ref="G298:H298"/>
    <mergeCell ref="E293:F293"/>
    <mergeCell ref="G293:H293"/>
    <mergeCell ref="E294:F294"/>
    <mergeCell ref="G294:H294"/>
    <mergeCell ref="E295:F295"/>
    <mergeCell ref="G295:H295"/>
    <mergeCell ref="E290:F290"/>
    <mergeCell ref="G290:H290"/>
    <mergeCell ref="E291:F291"/>
    <mergeCell ref="G291:H291"/>
    <mergeCell ref="E292:F292"/>
    <mergeCell ref="G292:H292"/>
    <mergeCell ref="E287:F287"/>
    <mergeCell ref="G287:H287"/>
    <mergeCell ref="E288:F288"/>
    <mergeCell ref="G288:H288"/>
    <mergeCell ref="E289:F289"/>
    <mergeCell ref="G289:H289"/>
    <mergeCell ref="E284:F284"/>
    <mergeCell ref="G284:H284"/>
    <mergeCell ref="E285:F285"/>
    <mergeCell ref="G285:H285"/>
    <mergeCell ref="E286:F286"/>
    <mergeCell ref="G286:H286"/>
    <mergeCell ref="E281:F281"/>
    <mergeCell ref="G281:H281"/>
    <mergeCell ref="E282:F282"/>
    <mergeCell ref="G282:H282"/>
    <mergeCell ref="E283:F283"/>
    <mergeCell ref="G283:H283"/>
    <mergeCell ref="E278:F278"/>
    <mergeCell ref="G278:H278"/>
    <mergeCell ref="E279:F279"/>
    <mergeCell ref="G279:H279"/>
    <mergeCell ref="E280:F280"/>
    <mergeCell ref="G280:H280"/>
    <mergeCell ref="E275:F275"/>
    <mergeCell ref="G275:H275"/>
    <mergeCell ref="E276:F276"/>
    <mergeCell ref="G276:H276"/>
    <mergeCell ref="E277:F277"/>
    <mergeCell ref="G277:H277"/>
    <mergeCell ref="E272:F272"/>
    <mergeCell ref="G272:H272"/>
    <mergeCell ref="E273:F273"/>
    <mergeCell ref="G273:H273"/>
    <mergeCell ref="E274:F274"/>
    <mergeCell ref="G274:H274"/>
    <mergeCell ref="E269:F269"/>
    <mergeCell ref="G269:H269"/>
    <mergeCell ref="E270:F270"/>
    <mergeCell ref="G270:H270"/>
    <mergeCell ref="E271:F271"/>
    <mergeCell ref="G271:H271"/>
    <mergeCell ref="E266:F266"/>
    <mergeCell ref="G266:H266"/>
    <mergeCell ref="E267:F267"/>
    <mergeCell ref="G267:H267"/>
    <mergeCell ref="E268:F268"/>
    <mergeCell ref="G268:H268"/>
    <mergeCell ref="E263:F263"/>
    <mergeCell ref="G263:H263"/>
    <mergeCell ref="E264:F264"/>
    <mergeCell ref="G264:H264"/>
    <mergeCell ref="E265:F265"/>
    <mergeCell ref="G265:H265"/>
    <mergeCell ref="E260:F260"/>
    <mergeCell ref="G260:H260"/>
    <mergeCell ref="E261:F261"/>
    <mergeCell ref="G261:H261"/>
    <mergeCell ref="E262:F262"/>
    <mergeCell ref="G262:H262"/>
    <mergeCell ref="E257:F257"/>
    <mergeCell ref="G257:H257"/>
    <mergeCell ref="E258:F258"/>
    <mergeCell ref="G258:H258"/>
    <mergeCell ref="E259:F259"/>
    <mergeCell ref="G259:H259"/>
    <mergeCell ref="E254:F254"/>
    <mergeCell ref="G254:H254"/>
    <mergeCell ref="E255:F255"/>
    <mergeCell ref="G255:H255"/>
    <mergeCell ref="E256:F256"/>
    <mergeCell ref="G256:H256"/>
    <mergeCell ref="E251:F251"/>
    <mergeCell ref="G251:H251"/>
    <mergeCell ref="E252:F252"/>
    <mergeCell ref="G252:H252"/>
    <mergeCell ref="E253:F253"/>
    <mergeCell ref="G253:H253"/>
    <mergeCell ref="E248:F248"/>
    <mergeCell ref="G248:H248"/>
    <mergeCell ref="E249:F249"/>
    <mergeCell ref="G249:H249"/>
    <mergeCell ref="E250:F250"/>
    <mergeCell ref="G250:H250"/>
    <mergeCell ref="E245:F245"/>
    <mergeCell ref="G245:H245"/>
    <mergeCell ref="E246:F246"/>
    <mergeCell ref="G246:H246"/>
    <mergeCell ref="E247:F247"/>
    <mergeCell ref="G247:H247"/>
    <mergeCell ref="E242:F242"/>
    <mergeCell ref="G242:H242"/>
    <mergeCell ref="E243:F243"/>
    <mergeCell ref="G243:H243"/>
    <mergeCell ref="E244:F244"/>
    <mergeCell ref="G244:H244"/>
    <mergeCell ref="E239:F239"/>
    <mergeCell ref="G239:H239"/>
    <mergeCell ref="E240:F240"/>
    <mergeCell ref="G240:H240"/>
    <mergeCell ref="E241:F241"/>
    <mergeCell ref="G241:H241"/>
    <mergeCell ref="E236:F236"/>
    <mergeCell ref="G236:H236"/>
    <mergeCell ref="E237:F237"/>
    <mergeCell ref="G237:H237"/>
    <mergeCell ref="E238:F238"/>
    <mergeCell ref="G238:H238"/>
    <mergeCell ref="E233:F233"/>
    <mergeCell ref="G233:H233"/>
    <mergeCell ref="E234:F234"/>
    <mergeCell ref="G234:H234"/>
    <mergeCell ref="E235:F235"/>
    <mergeCell ref="G235:H235"/>
    <mergeCell ref="E230:F230"/>
    <mergeCell ref="G230:H230"/>
    <mergeCell ref="E231:F231"/>
    <mergeCell ref="G231:H231"/>
    <mergeCell ref="E232:F232"/>
    <mergeCell ref="G232:H232"/>
    <mergeCell ref="E227:F227"/>
    <mergeCell ref="G227:H227"/>
    <mergeCell ref="E228:F228"/>
    <mergeCell ref="G228:H228"/>
    <mergeCell ref="E229:F229"/>
    <mergeCell ref="G229:H229"/>
    <mergeCell ref="E224:F224"/>
    <mergeCell ref="G224:H224"/>
    <mergeCell ref="E225:F225"/>
    <mergeCell ref="G225:H225"/>
    <mergeCell ref="E226:F226"/>
    <mergeCell ref="G226:H226"/>
    <mergeCell ref="E221:F221"/>
    <mergeCell ref="G221:H221"/>
    <mergeCell ref="E222:F222"/>
    <mergeCell ref="G222:H222"/>
    <mergeCell ref="E223:F223"/>
    <mergeCell ref="G223:H223"/>
    <mergeCell ref="E218:F218"/>
    <mergeCell ref="G218:H218"/>
    <mergeCell ref="E219:F219"/>
    <mergeCell ref="G219:H219"/>
    <mergeCell ref="E220:F220"/>
    <mergeCell ref="G220:H220"/>
    <mergeCell ref="E215:F215"/>
    <mergeCell ref="G215:H215"/>
    <mergeCell ref="E216:F216"/>
    <mergeCell ref="G216:H216"/>
    <mergeCell ref="E217:F217"/>
    <mergeCell ref="G217:H217"/>
    <mergeCell ref="E212:F212"/>
    <mergeCell ref="G212:H212"/>
    <mergeCell ref="E213:F213"/>
    <mergeCell ref="G213:H213"/>
    <mergeCell ref="E214:F214"/>
    <mergeCell ref="G214:H214"/>
    <mergeCell ref="E209:F209"/>
    <mergeCell ref="G209:H209"/>
    <mergeCell ref="E210:F210"/>
    <mergeCell ref="G210:H210"/>
    <mergeCell ref="E211:F211"/>
    <mergeCell ref="G211:H211"/>
    <mergeCell ref="E206:F206"/>
    <mergeCell ref="G206:H206"/>
    <mergeCell ref="E207:F207"/>
    <mergeCell ref="G207:H207"/>
    <mergeCell ref="E208:F208"/>
    <mergeCell ref="G208:H208"/>
    <mergeCell ref="E203:F203"/>
    <mergeCell ref="G203:H203"/>
    <mergeCell ref="E204:F204"/>
    <mergeCell ref="G204:H204"/>
    <mergeCell ref="E205:F205"/>
    <mergeCell ref="G205:H205"/>
    <mergeCell ref="E200:F200"/>
    <mergeCell ref="G200:H200"/>
    <mergeCell ref="E201:F201"/>
    <mergeCell ref="G201:H201"/>
    <mergeCell ref="E202:F202"/>
    <mergeCell ref="G202:H202"/>
    <mergeCell ref="E197:F197"/>
    <mergeCell ref="G197:H197"/>
    <mergeCell ref="E198:F198"/>
    <mergeCell ref="G198:H198"/>
    <mergeCell ref="E199:F199"/>
    <mergeCell ref="G199:H199"/>
    <mergeCell ref="E194:F194"/>
    <mergeCell ref="G194:H194"/>
    <mergeCell ref="E195:F195"/>
    <mergeCell ref="G195:H195"/>
    <mergeCell ref="E196:F196"/>
    <mergeCell ref="G196:H196"/>
    <mergeCell ref="E191:F191"/>
    <mergeCell ref="G191:H191"/>
    <mergeCell ref="E192:F192"/>
    <mergeCell ref="G192:H192"/>
    <mergeCell ref="E193:F193"/>
    <mergeCell ref="G193:H193"/>
    <mergeCell ref="E188:F188"/>
    <mergeCell ref="G188:H188"/>
    <mergeCell ref="E189:F189"/>
    <mergeCell ref="G189:H189"/>
    <mergeCell ref="E190:F190"/>
    <mergeCell ref="G190:H190"/>
    <mergeCell ref="E185:F185"/>
    <mergeCell ref="G185:H185"/>
    <mergeCell ref="E186:F186"/>
    <mergeCell ref="G186:H186"/>
    <mergeCell ref="E187:F187"/>
    <mergeCell ref="G187:H187"/>
    <mergeCell ref="E182:F182"/>
    <mergeCell ref="G182:H182"/>
    <mergeCell ref="E183:F183"/>
    <mergeCell ref="G183:H183"/>
    <mergeCell ref="E184:F184"/>
    <mergeCell ref="G184:H184"/>
    <mergeCell ref="E179:F179"/>
    <mergeCell ref="G179:H179"/>
    <mergeCell ref="E180:F180"/>
    <mergeCell ref="G180:H180"/>
    <mergeCell ref="E181:F181"/>
    <mergeCell ref="G181:H181"/>
    <mergeCell ref="E176:F176"/>
    <mergeCell ref="G176:H176"/>
    <mergeCell ref="E177:F177"/>
    <mergeCell ref="G177:H177"/>
    <mergeCell ref="E178:F178"/>
    <mergeCell ref="G178:H178"/>
    <mergeCell ref="E173:F173"/>
    <mergeCell ref="G173:H173"/>
    <mergeCell ref="E174:F174"/>
    <mergeCell ref="G174:H174"/>
    <mergeCell ref="E175:F175"/>
    <mergeCell ref="G175:H175"/>
    <mergeCell ref="E170:F170"/>
    <mergeCell ref="G170:H170"/>
    <mergeCell ref="E171:F171"/>
    <mergeCell ref="G171:H171"/>
    <mergeCell ref="E172:F172"/>
    <mergeCell ref="G172:H172"/>
    <mergeCell ref="E167:F167"/>
    <mergeCell ref="G167:H167"/>
    <mergeCell ref="E168:F168"/>
    <mergeCell ref="G168:H168"/>
    <mergeCell ref="E169:F169"/>
    <mergeCell ref="G169:H169"/>
    <mergeCell ref="E164:F164"/>
    <mergeCell ref="G164:H164"/>
    <mergeCell ref="E165:F165"/>
    <mergeCell ref="G165:H165"/>
    <mergeCell ref="E166:F166"/>
    <mergeCell ref="G166:H166"/>
    <mergeCell ref="E161:F161"/>
    <mergeCell ref="G161:H161"/>
    <mergeCell ref="E162:F162"/>
    <mergeCell ref="G162:H162"/>
    <mergeCell ref="E163:F163"/>
    <mergeCell ref="G163:H163"/>
    <mergeCell ref="E158:F158"/>
    <mergeCell ref="G158:H158"/>
    <mergeCell ref="E159:F159"/>
    <mergeCell ref="G159:H159"/>
    <mergeCell ref="E160:F160"/>
    <mergeCell ref="G160:H160"/>
    <mergeCell ref="E155:F155"/>
    <mergeCell ref="G155:H155"/>
    <mergeCell ref="E156:F156"/>
    <mergeCell ref="G156:H156"/>
    <mergeCell ref="E157:F157"/>
    <mergeCell ref="G157:H157"/>
    <mergeCell ref="E152:F152"/>
    <mergeCell ref="G152:H152"/>
    <mergeCell ref="E153:F153"/>
    <mergeCell ref="G153:H153"/>
    <mergeCell ref="E154:F154"/>
    <mergeCell ref="G154:H154"/>
    <mergeCell ref="E149:F149"/>
    <mergeCell ref="G149:H149"/>
    <mergeCell ref="E150:F150"/>
    <mergeCell ref="G150:H150"/>
    <mergeCell ref="E151:F151"/>
    <mergeCell ref="G151:H151"/>
    <mergeCell ref="E146:F146"/>
    <mergeCell ref="G146:H146"/>
    <mergeCell ref="E147:F147"/>
    <mergeCell ref="G147:H147"/>
    <mergeCell ref="E148:F148"/>
    <mergeCell ref="G148:H148"/>
    <mergeCell ref="E143:F143"/>
    <mergeCell ref="G143:H143"/>
    <mergeCell ref="E144:F144"/>
    <mergeCell ref="G144:H144"/>
    <mergeCell ref="E145:F145"/>
    <mergeCell ref="G145:H145"/>
    <mergeCell ref="E140:F140"/>
    <mergeCell ref="G140:H140"/>
    <mergeCell ref="E141:F141"/>
    <mergeCell ref="G141:H141"/>
    <mergeCell ref="E142:F142"/>
    <mergeCell ref="G142:H142"/>
    <mergeCell ref="E137:F137"/>
    <mergeCell ref="G137:H137"/>
    <mergeCell ref="E138:F138"/>
    <mergeCell ref="G138:H138"/>
    <mergeCell ref="E139:F139"/>
    <mergeCell ref="G139:H139"/>
    <mergeCell ref="E134:F134"/>
    <mergeCell ref="G134:H134"/>
    <mergeCell ref="E135:F135"/>
    <mergeCell ref="G135:H135"/>
    <mergeCell ref="E136:F136"/>
    <mergeCell ref="G136:H136"/>
    <mergeCell ref="G15:H15"/>
    <mergeCell ref="E16:F16"/>
    <mergeCell ref="G16:H16"/>
    <mergeCell ref="G10:H10"/>
    <mergeCell ref="E11:F11"/>
    <mergeCell ref="G11:H11"/>
    <mergeCell ref="E12:F12"/>
    <mergeCell ref="G12:H12"/>
    <mergeCell ref="E13:F13"/>
    <mergeCell ref="G13:H13"/>
    <mergeCell ref="E26:F26"/>
    <mergeCell ref="G26:H26"/>
    <mergeCell ref="E27:F27"/>
    <mergeCell ref="G27:H27"/>
    <mergeCell ref="E129:F129"/>
    <mergeCell ref="G129:H129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G21:H21"/>
    <mergeCell ref="E22:F22"/>
    <mergeCell ref="G22:H22"/>
    <mergeCell ref="E7:F7"/>
    <mergeCell ref="G7:H7"/>
    <mergeCell ref="M7:N7"/>
    <mergeCell ref="O7:P7"/>
    <mergeCell ref="Q7:R7"/>
    <mergeCell ref="E9:F9"/>
    <mergeCell ref="G9:H9"/>
    <mergeCell ref="K9:L27"/>
    <mergeCell ref="O9:R27"/>
    <mergeCell ref="E10:F10"/>
    <mergeCell ref="J6:J7"/>
    <mergeCell ref="K6:K7"/>
    <mergeCell ref="L6:L7"/>
    <mergeCell ref="M6:N6"/>
    <mergeCell ref="O6:P6"/>
    <mergeCell ref="Q6:R6"/>
    <mergeCell ref="D1:I1"/>
    <mergeCell ref="E4:F4"/>
    <mergeCell ref="G4:H4"/>
    <mergeCell ref="E5:F5"/>
    <mergeCell ref="G5:H5"/>
    <mergeCell ref="E6:F6"/>
    <mergeCell ref="G6:H6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</mergeCells>
  <conditionalFormatting sqref="E9:F826">
    <cfRule type="expression" dxfId="5" priority="1">
      <formula>E9&lt;&gt;""</formula>
    </cfRule>
  </conditionalFormatting>
  <conditionalFormatting sqref="G9:H826">
    <cfRule type="containsText" dxfId="4" priority="5" operator="containsText" text="Fehler">
      <formula>NOT(ISERROR(SEARCH("Fehler",G9)))</formula>
    </cfRule>
    <cfRule type="containsText" dxfId="3" priority="6" operator="containsText" text="Warnung">
      <formula>NOT(ISERROR(SEARCH("Warnung",G9)))</formula>
    </cfRule>
  </conditionalFormatting>
  <conditionalFormatting sqref="S9:S826">
    <cfRule type="containsText" dxfId="2" priority="2" operator="containsText" text="erfüllt">
      <formula>NOT(ISERROR(SEARCH("erfüllt",S9)))</formula>
    </cfRule>
    <cfRule type="containsText" dxfId="1" priority="3" operator="containsText" text="mit Warnung">
      <formula>NOT(ISERROR(SEARCH("mit Warnung",S9)))</formula>
    </cfRule>
    <cfRule type="containsText" dxfId="0" priority="4" operator="containsText" text="mit Fehler">
      <formula>NOT(ISERROR(SEARCH("mit Fehler",S9)))</formula>
    </cfRule>
  </conditionalFormatting>
  <dataValidations count="2">
    <dataValidation type="list" allowBlank="1" showInputMessage="1" showErrorMessage="1" sqref="S9:S826" xr:uid="{0E24E3B8-D40E-412E-BB88-9D0C7E3BBA9B}">
      <formula1>"erfüllt,mit Fehler,mit Warnung"</formula1>
    </dataValidation>
    <dataValidation type="list" allowBlank="1" showInputMessage="1" showErrorMessage="1" sqref="H28:H128 G9:G826" xr:uid="{A77C9CE7-3079-416F-B735-1D3A1A41AB62}">
      <formula1>"Fehler,Warnung"</formula1>
    </dataValidation>
  </dataValidations>
  <pageMargins left="0.7" right="0.7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5FE4-8F54-43E5-8F4B-C5E95C93A07E}">
  <dimension ref="A1"/>
  <sheetViews>
    <sheetView zoomScaleNormal="100" workbookViewId="0">
      <selection activeCell="D87" sqref="D87"/>
    </sheetView>
  </sheetViews>
  <sheetFormatPr defaultColWidth="9.140625" defaultRowHeight="12.75" x14ac:dyDescent="0.2"/>
  <cols>
    <col min="1" max="1" width="31.85546875" customWidth="1"/>
    <col min="20" max="20" width="31.85546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C0F92880247D4C86C63C076D65B51D" ma:contentTypeVersion="22" ma:contentTypeDescription="Ein neues Dokument erstellen." ma:contentTypeScope="" ma:versionID="8c81625683da786ac19104fbb5b75c36">
  <xsd:schema xmlns:xsd="http://www.w3.org/2001/XMLSchema" xmlns:xs="http://www.w3.org/2001/XMLSchema" xmlns:p="http://schemas.microsoft.com/office/2006/metadata/properties" xmlns:ns2="c6e27a8e-be36-46a7-be3f-f5da11d757a6" xmlns:ns3="1d0f2429-9481-49a5-88a5-98bae25842d6" targetNamespace="http://schemas.microsoft.com/office/2006/metadata/properties" ma:root="true" ma:fieldsID="2a1288881b166cef1e47b8804e15d4dc" ns2:_="" ns3:_="">
    <xsd:import namespace="c6e27a8e-be36-46a7-be3f-f5da11d757a6"/>
    <xsd:import namespace="1d0f2429-9481-49a5-88a5-98bae2584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27a8e-be36-46a7-be3f-f5da11d75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8210aed9-ea04-4ef5-b6a1-16fe75db2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f2429-9481-49a5-88a5-98bae25842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37c79f6-6380-483a-adda-14c47c4b9cef}" ma:internalName="TaxCatchAll" ma:showField="CatchAllData" ma:web="1d0f2429-9481-49a5-88a5-98bae2584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e27a8e-be36-46a7-be3f-f5da11d757a6">
      <Terms xmlns="http://schemas.microsoft.com/office/infopath/2007/PartnerControls"/>
    </lcf76f155ced4ddcb4097134ff3c332f>
    <TaxCatchAll xmlns="1d0f2429-9481-49a5-88a5-98bae25842d6" xsi:nil="true"/>
  </documentManagement>
</p:properties>
</file>

<file path=customXml/itemProps1.xml><?xml version="1.0" encoding="utf-8"?>
<ds:datastoreItem xmlns:ds="http://schemas.openxmlformats.org/officeDocument/2006/customXml" ds:itemID="{3904E8B7-F5A5-451E-9956-31B41B673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27a8e-be36-46a7-be3f-f5da11d757a6"/>
    <ds:schemaRef ds:uri="1d0f2429-9481-49a5-88a5-98bae2584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881353-AA46-4973-8BCB-71C3F18948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0AC1A-B703-4D3D-AF27-9E5A15AF9392}">
  <ds:schemaRefs>
    <ds:schemaRef ds:uri="http://schemas.microsoft.com/office/2006/metadata/properties"/>
    <ds:schemaRef ds:uri="http://schemas.microsoft.com/office/infopath/2007/PartnerControls"/>
    <ds:schemaRef ds:uri="c6e27a8e-be36-46a7-be3f-f5da11d757a6"/>
    <ds:schemaRef ds:uri="1d0f2429-9481-49a5-88a5-98bae25842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Validierung_Teststufe_1</vt:lpstr>
      <vt:lpstr>Validierung_Teststufe_2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Theiler</dc:creator>
  <cp:lastModifiedBy>Carmen Theiler</cp:lastModifiedBy>
  <dcterms:created xsi:type="dcterms:W3CDTF">2021-09-29T11:51:01Z</dcterms:created>
  <dcterms:modified xsi:type="dcterms:W3CDTF">2026-08-31T08:56:57Z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fdd986-87d9-48c6-acda-407b1ab5fef0_Enabled">
    <vt:lpwstr>true</vt:lpwstr>
  </property>
  <property fmtid="{D5CDD505-2E9C-101B-9397-08002B2CF9AE}" pid="3" name="MSIP_Label_74fdd986-87d9-48c6-acda-407b1ab5fef0_SetDate">
    <vt:lpwstr>2025-02-13T15:24:04Z</vt:lpwstr>
  </property>
  <property fmtid="{D5CDD505-2E9C-101B-9397-08002B2CF9AE}" pid="4" name="MSIP_Label_74fdd986-87d9-48c6-acda-407b1ab5fef0_Method">
    <vt:lpwstr>Standard</vt:lpwstr>
  </property>
  <property fmtid="{D5CDD505-2E9C-101B-9397-08002B2CF9AE}" pid="5" name="MSIP_Label_74fdd986-87d9-48c6-acda-407b1ab5fef0_Name">
    <vt:lpwstr>NICHT KLASSIFIZIERT</vt:lpwstr>
  </property>
  <property fmtid="{D5CDD505-2E9C-101B-9397-08002B2CF9AE}" pid="6" name="MSIP_Label_74fdd986-87d9-48c6-acda-407b1ab5fef0_SiteId">
    <vt:lpwstr>cb96f99a-a111-42d7-9f65-e111197ba4bb</vt:lpwstr>
  </property>
  <property fmtid="{D5CDD505-2E9C-101B-9397-08002B2CF9AE}" pid="7" name="MSIP_Label_74fdd986-87d9-48c6-acda-407b1ab5fef0_ActionId">
    <vt:lpwstr>e19a5b1b-771b-4697-bbdd-187d895312df</vt:lpwstr>
  </property>
  <property fmtid="{D5CDD505-2E9C-101B-9397-08002B2CF9AE}" pid="8" name="MSIP_Label_74fdd986-87d9-48c6-acda-407b1ab5fef0_ContentBits">
    <vt:lpwstr>0</vt:lpwstr>
  </property>
  <property fmtid="{D5CDD505-2E9C-101B-9397-08002B2CF9AE}" pid="9" name="ContentTypeId">
    <vt:lpwstr>0x01010029C0F92880247D4C86C63C076D65B51D</vt:lpwstr>
  </property>
</Properties>
</file>